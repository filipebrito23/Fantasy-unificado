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fazpegovbr-my.sharepoint.com/personal/filipe_lima_sefaz_pe_gov_br/Documents/Documents/GitHub/Fantasy-unificado/"/>
    </mc:Choice>
  </mc:AlternateContent>
  <xr:revisionPtr revIDLastSave="184" documentId="11_791FA96ECBD6B4BC3EA43B8EE66197E7E776D260" xr6:coauthVersionLast="47" xr6:coauthVersionMax="47" xr10:uidLastSave="{43BCC050-E6D4-4141-93B1-3DA592554448}"/>
  <bookViews>
    <workbookView xWindow="-120" yWindow="-120" windowWidth="29040" windowHeight="15720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0" l="1"/>
  <c r="L77" i="10"/>
  <c r="L153" i="10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<sst xmlns="http://schemas.openxmlformats.org/spreadsheetml/2006/main" count="1692" uniqueCount="702">
  <si>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</si>
  <si>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</si>
  <si>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</si>
  <si>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</si>
  <si>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</si>
  <si>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</si>
  <si>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</si>
  <si>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</si>
  <si>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</si>
  <si>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</si>
  <si>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</si>
  <si>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</si>
  <si>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</si>
  <si>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</si>
  <si>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</si>
  <si>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</si>
  <si>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</si>
  <si>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</si>
  <si>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</si>
  <si>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</si>
  <si>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</si>
  <si>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</si>
  <si>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</si>
  <si>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</si>
  <si>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</si>
  <si>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</si>
  <si>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</si>
  <si>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</si>
  <si>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</si>
  <si>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</si>
  <si>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</si>
  <si>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</si>
  <si>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</si>
  <si>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</si>
  <si>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</si>
  <si>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</si>
  <si>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</si>
  <si>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</si>
  <si>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</si>
  <si>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</si>
  <si>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</si>
  <si>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</si>
  <si>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</si>
  <si>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</si>
  <si>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</si>
  <si>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</si>
  <si>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</si>
  <si>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</si>
  <si>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</si>
  <si>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</si>
  <si>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</si>
  <si>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</si>
  <si>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</si>
  <si>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</si>
  <si>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</si>
  <si>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</si>
  <si>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</si>
  <si>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</si>
  <si>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</si>
  <si>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</si>
  <si>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</si>
  <si>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</si>
  <si>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</si>
  <si>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</si>
  <si>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</si>
  <si>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</si>
  <si>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</si>
  <si>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</si>
  <si>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</si>
  <si>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</si>
  <si>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</si>
  <si>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</si>
  <si>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</si>
  <si>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</si>
  <si>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</si>
  <si>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</si>
  <si>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</si>
  <si>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</si>
  <si>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</si>
  <si>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</si>
  <si>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</si>
  <si>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</si>
  <si>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</si>
  <si>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</si>
  <si>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</si>
  <si>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</si>
  <si>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</si>
  <si>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</si>
  <si>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</si>
  <si>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</si>
  <si>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</si>
  <si>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</si>
  <si>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</si>
  <si>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</si>
  <si>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</si>
  <si>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</si>
  <si>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</si>
  <si>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</si>
  <si>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</si>
  <si>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</si>
  <si>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</si>
  <si>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</si>
  <si>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</si>
  <si>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</si>
  <si>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</si>
  <si>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</si>
  <si>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</si>
  <si>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</si>
  <si>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</si>
  <si>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</si>
  <si>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</si>
  <si>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</si>
  <si>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</si>
  <si>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</si>
  <si>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</si>
  <si>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</si>
  <si>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</si>
  <si>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</si>
  <si>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</si>
  <si>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</si>
  <si>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</si>
  <si>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</si>
  <si>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</si>
  <si>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</si>
  <si>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</si>
  <si>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</si>
  <si>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</si>
  <si>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</si>
  <si>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</si>
  <si>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</si>
  <si>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</si>
  <si>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</si>
  <si>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</si>
  <si>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</si>
  <si>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</si>
  <si>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</si>
  <si>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</si>
  <si>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</si>
  <si>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</si>
  <si>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</si>
  <si>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</si>
  <si>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</si>
  <si>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</si>
  <si>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</si>
  <si>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</si>
  <si>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</si>
  <si>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</si>
  <si>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</si>
  <si>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</si>
  <si>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</si>
  <si>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</si>
  <si>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</si>
  <si>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</si>
  <si>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</si>
  <si>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</si>
  <si>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</si>
  <si>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</si>
  <si>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</si>
  <si>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</si>
  <si>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</si>
  <si>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</si>
  <si>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</si>
  <si>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</si>
  <si>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</si>
  <si>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</si>
  <si>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</si>
  <si>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</si>
  <si>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</si>
  <si>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</si>
  <si>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</si>
  <si>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</si>
  <si>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</si>
  <si>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</si>
  <si>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</si>
  <si>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</si>
  <si>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</si>
  <si>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</si>
  <si>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</si>
  <si>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</si>
  <si>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</si>
  <si>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</si>
  <si>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</si>
  <si>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</si>
  <si>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</si>
  <si>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</si>
  <si>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</si>
  <si>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</si>
  <si>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</si>
  <si>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</si>
  <si>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</si>
  <si>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</si>
  <si>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</si>
  <si>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</si>
  <si>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</si>
  <si>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</si>
  <si>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</si>
  <si>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</si>
  <si>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</si>
  <si>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</si>
  <si>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</si>
  <si>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</si>
  <si>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</si>
  <si>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</si>
  <si>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</si>
  <si>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</si>
  <si>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</si>
  <si>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</si>
  <si>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</si>
  <si>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</si>
  <si>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</si>
  <si>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</si>
  <si>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</si>
  <si>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</si>
  <si>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</si>
  <si>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</si>
  <si>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</si>
  <si>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</si>
  <si>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</si>
  <si>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</si>
  <si>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</si>
  <si>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</si>
  <si>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</si>
  <si>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</si>
  <si>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</si>
  <si>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</si>
  <si>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</si>
  <si>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</si>
  <si>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</si>
  <si>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</si>
  <si>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</si>
  <si>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</si>
  <si>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</si>
  <si>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</si>
  <si>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</si>
  <si>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</si>
  <si>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</si>
  <si>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</si>
  <si>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</si>
  <si>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</si>
  <si>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</si>
  <si>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</si>
  <si>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</si>
  <si>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</si>
  <si>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</si>
  <si>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</si>
  <si>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</si>
  <si>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</si>
  <si>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</si>
  <si>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</si>
  <si>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</si>
  <si>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</si>
  <si>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</si>
  <si>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</si>
  <si>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</si>
  <si>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</si>
  <si>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</si>
  <si>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</si>
  <si>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</si>
  <si>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</si>
  <si>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</si>
  <si>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</si>
  <si>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</si>
  <si>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</si>
  <si>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</si>
  <si>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</si>
  <si>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</si>
  <si>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</si>
  <si>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</si>
  <si>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</si>
  <si>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</si>
  <si>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</si>
  <si>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</si>
  <si>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</si>
  <si>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</si>
  <si>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</si>
  <si>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</si>
  <si>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</si>
  <si>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</si>
  <si>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</si>
  <si>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</si>
  <si>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</si>
  <si>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</si>
  <si>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</si>
  <si>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</si>
  <si>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</si>
  <si>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</si>
  <si>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</si>
  <si>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</si>
  <si>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</si>
  <si>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</si>
  <si>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</si>
  <si>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</si>
  <si>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</si>
  <si>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</si>
  <si>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</si>
  <si>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</si>
  <si>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</si>
  <si>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</si>
  <si>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</si>
  <si>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</si>
  <si>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</si>
  <si>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</si>
  <si>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</si>
  <si>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</si>
  <si>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</si>
  <si>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</si>
  <si>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</si>
  <si>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</si>
  <si>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</si>
  <si>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</si>
  <si>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</si>
  <si>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</si>
  <si>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</si>
  <si>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</si>
  <si>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</si>
  <si>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</si>
  <si>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</si>
  <si>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</si>
  <si>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</si>
  <si>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</si>
  <si>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</si>
  <si>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</si>
  <si>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</si>
  <si>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</si>
  <si>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</si>
  <si>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</si>
  <si>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</si>
  <si>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</si>
  <si>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</si>
  <si>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</si>
  <si>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</si>
  <si>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</si>
  <si>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</si>
  <si>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</si>
  <si>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</si>
  <si>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</si>
  <si>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</si>
  <si>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</si>
  <si>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</si>
  <si>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</si>
  <si>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</si>
  <si>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</si>
  <si>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</si>
  <si>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</si>
  <si>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</si>
  <si>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</si>
  <si>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</si>
  <si>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</si>
  <si>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</si>
  <si>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</si>
  <si>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</si>
  <si>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</si>
  <si>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</si>
  <si>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</si>
  <si>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</si>
  <si>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</si>
  <si>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</si>
  <si>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</si>
  <si>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</si>
  <si>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</si>
  <si>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</si>
  <si>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</si>
  <si>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</si>
  <si>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</si>
  <si>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</si>
  <si>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</si>
  <si>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</si>
  <si>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</si>
  <si>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</si>
  <si>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</si>
  <si>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</si>
  <si>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</si>
  <si>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</si>
  <si>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</si>
  <si>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</si>
  <si>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</si>
  <si>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</si>
  <si>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</si>
  <si>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</si>
  <si>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</si>
  <si>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</si>
  <si>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</si>
  <si>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</si>
  <si>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</si>
  <si>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</si>
  <si>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</si>
  <si>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</si>
  <si>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</si>
  <si>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</si>
  <si>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</si>
  <si>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</si>
  <si>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</si>
  <si>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</si>
  <si>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</si>
  <si>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</si>
  <si>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</si>
  <si>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</si>
  <si>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</si>
  <si>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</si>
  <si>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</si>
  <si>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</si>
  <si>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</si>
  <si>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</si>
  <si>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</si>
  <si>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</si>
  <si>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</si>
  <si>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</si>
  <si>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</si>
  <si>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</si>
  <si>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</si>
  <si>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</si>
  <si>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</si>
  <si>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</si>
  <si>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</si>
  <si>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</si>
  <si>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</si>
  <si>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</si>
  <si>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</si>
  <si>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</si>
  <si>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</si>
  <si>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</si>
  <si>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</si>
  <si>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</si>
  <si>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</si>
  <si>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</si>
  <si>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</si>
  <si>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</si>
  <si>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</si>
  <si>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</si>
  <si>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</si>
  <si>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</si>
  <si>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</si>
  <si>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</si>
  <si>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</si>
  <si>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</si>
  <si>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</si>
  <si>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</si>
  <si>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</si>
  <si>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</si>
  <si>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</si>
  <si>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</si>
  <si>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</si>
  <si>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</si>
  <si>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</si>
  <si>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</si>
  <si>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</si>
  <si>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</si>
  <si>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</si>
  <si>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</si>
  <si>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</si>
  <si>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</si>
  <si>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</si>
  <si>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</si>
  <si>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</si>
  <si>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</si>
  <si>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</si>
  <si>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</si>
  <si>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</si>
  <si>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</si>
  <si>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</si>
  <si>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</si>
  <si>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</si>
  <si>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</si>
  <si>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</si>
  <si>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</si>
  <si>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</si>
  <si>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</si>
  <si>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</si>
  <si>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</si>
  <si>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</si>
  <si>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</si>
  <si>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</si>
  <si>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</si>
  <si>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</si>
  <si>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</si>
  <si>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</si>
  <si>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</si>
  <si>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</si>
  <si>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</si>
  <si>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</si>
  <si>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</si>
  <si>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</si>
  <si>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</si>
  <si>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</si>
  <si>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</si>
  <si>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</si>
  <si>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</si>
  <si>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</si>
  <si>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</si>
  <si>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</si>
  <si>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</si>
  <si>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</si>
  <si>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</si>
  <si>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</si>
  <si>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</si>
  <si>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</si>
  <si>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</si>
  <si>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</si>
  <si>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</si>
  <si>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</si>
  <si>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</si>
  <si>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</si>
  <si>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</si>
  <si>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</si>
  <si>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</si>
  <si>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</si>
  <si>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</si>
  <si>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</si>
  <si>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</si>
  <si>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</si>
  <si>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</si>
  <si>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</si>
  <si>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</si>
  <si>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</si>
  <si>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</si>
  <si>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</si>
  <si>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</si>
  <si>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</si>
  <si>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</si>
  <si>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</si>
  <si>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</si>
  <si>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</si>
  <si>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</si>
  <si>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</si>
  <si>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</si>
  <si>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</si>
  <si>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</si>
  <si>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</si>
  <si>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</si>
  <si>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</si>
  <si>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</si>
  <si>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</si>
  <si>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</si>
  <si>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</si>
  <si>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</si>
  <si>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</si>
  <si>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</si>
  <si>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</si>
  <si>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</si>
  <si>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</si>
  <si>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</si>
  <si>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</si>
  <si>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</si>
  <si>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</si>
  <si>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</si>
  <si>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</si>
  <si>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</si>
  <si>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</si>
  <si>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</si>
  <si>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</si>
  <si>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</si>
  <si>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</si>
  <si>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</si>
  <si>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</si>
  <si>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</si>
  <si>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</si>
  <si>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</si>
  <si>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</si>
  <si>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</si>
  <si>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</si>
  <si>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</si>
  <si>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</si>
  <si>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</si>
  <si>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</si>
  <si>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</si>
  <si>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</si>
  <si>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</si>
  <si>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</si>
  <si>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</si>
  <si>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</si>
  <si>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</si>
  <si>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</si>
  <si>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</si>
  <si>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</si>
  <si>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</si>
  <si>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</si>
  <si>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</si>
  <si>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</si>
  <si>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</si>
  <si>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</si>
  <si>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</si>
  <si>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</si>
  <si>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</si>
  <si>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</si>
  <si>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</si>
  <si>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</si>
  <si>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</si>
  <si>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</si>
  <si>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</si>
  <si>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</si>
  <si>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</si>
  <si>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</si>
  <si>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</si>
  <si>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</si>
  <si>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</si>
  <si>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</si>
  <si>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</si>
  <si>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</si>
  <si>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</si>
  <si>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</si>
  <si>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</si>
  <si>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</si>
  <si>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</si>
  <si>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</si>
  <si>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</si>
  <si>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</si>
  <si>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</si>
  <si>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</si>
  <si>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</si>
  <si>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</si>
  <si>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</si>
  <si>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</si>
  <si>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</si>
  <si>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</si>
  <si>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</si>
  <si>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</si>
  <si>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</si>
  <si>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</si>
  <si>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</si>
  <si>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</si>
  <si>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</si>
  <si>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</si>
  <si>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</si>
  <si>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</si>
  <si>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</si>
  <si>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</si>
  <si>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</si>
  <si>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</si>
  <si>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</si>
  <si>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</si>
  <si>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</si>
  <si>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</si>
  <si>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</si>
  <si>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</si>
  <si>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</si>
  <si>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</si>
  <si>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</si>
  <si>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</si>
  <si>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</si>
  <si>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</si>
  <si>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</si>
  <si>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</si>
  <si>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</si>
  <si>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</si>
  <si>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</si>
  <si>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</si>
  <si>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</si>
  <si>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</si>
  <si>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</si>
  <si>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</si>
  <si>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</si>
  <si>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</si>
  <si>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</si>
  <si>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</si>
  <si>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</si>
  <si>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</si>
  <si>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</si>
  <si>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</si>
  <si>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</si>
  <si>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</si>
  <si>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</si>
  <si>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</si>
  <si>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</si>
  <si>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</si>
  <si>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</si>
  <si>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</si>
  <si>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</si>
  <si>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</si>
  <si>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</si>
  <si>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</si>
  <si>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</si>
  <si>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</si>
  <si>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</si>
  <si>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</si>
  <si>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</si>
  <si>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</si>
  <si>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</si>
  <si>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</si>
  <si>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</si>
  <si>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</si>
  <si>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</si>
  <si>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</si>
  <si>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</si>
  <si>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</si>
  <si>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</si>
  <si>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</si>
  <si>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</si>
  <si>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</si>
  <si>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</si>
  <si>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</si>
  <si>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</si>
  <si>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</si>
  <si>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</si>
  <si>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</si>
  <si>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</si>
  <si>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</si>
  <si>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</si>
  <si>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</si>
  <si>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</si>
  <si>
    <t>A.J. Dybantsa</t>
  </si>
  <si>
    <t>Caleb Wilson</t>
  </si>
  <si>
    <t>Cameron Boozer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</si>
</sst>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20"/>
  <sheetViews>
    <sheetView topLeftCell="A400" workbookViewId="0">
      <selection activeCell="E420" sqref="E420:K42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699</v>
      </c>
      <c r="D418" s="1" t="s">
        <v>50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700</v>
      </c>
      <c r="D419" s="1" t="s">
        <v>28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x14ac:dyDescent="0.25">
      <c r="A420">
        <v>419</v>
      </c>
      <c r="B420" s="1" t="s">
        <v>701</v>
      </c>
      <c r="D420" s="1" t="s">
        <v>28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7"/>
  <sheetViews>
    <sheetView tabSelected="1" workbookViewId="0">
      <selection activeCell="K28" sqref="K28"/>
    </sheetView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571</v>
      </c>
      <c r="H18">
        <v>9000000</v>
      </c>
      <c r="I18" t="s">
        <v>571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571</v>
      </c>
      <c r="H21">
        <v>1000000</v>
      </c>
      <c r="I21" t="s">
        <v>571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571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1</v>
      </c>
      <c r="B29">
        <v>419</v>
      </c>
      <c r="C29">
        <v>14</v>
      </c>
      <c r="D29">
        <v>7000000</v>
      </c>
      <c r="F29">
        <v>7500000</v>
      </c>
      <c r="H29">
        <v>8250000</v>
      </c>
      <c r="I29" t="s">
        <v>571</v>
      </c>
      <c r="J29">
        <v>9000000</v>
      </c>
      <c r="K29" t="s">
        <v>571</v>
      </c>
      <c r="L29" t="str">
        <f>VLOOKUP(B29,players!A:B,2)</f>
        <v>Cameron Boozer</v>
      </c>
    </row>
    <row r="30" spans="1:12" x14ac:dyDescent="0.25">
      <c r="A30">
        <v>2</v>
      </c>
      <c r="B30">
        <v>320</v>
      </c>
      <c r="C30">
        <v>1</v>
      </c>
      <c r="D30">
        <v>1000000</v>
      </c>
      <c r="F30">
        <v>1000000</v>
      </c>
      <c r="G30" t="s">
        <v>571</v>
      </c>
      <c r="L30" t="str">
        <f>VLOOKUP(B30,players!A:B,2)</f>
        <v>Cam Spencer</v>
      </c>
    </row>
    <row r="31" spans="1:12" x14ac:dyDescent="0.25">
      <c r="A31">
        <v>2</v>
      </c>
      <c r="B31">
        <v>21</v>
      </c>
      <c r="C31">
        <v>2</v>
      </c>
      <c r="D31">
        <v>23500000</v>
      </c>
      <c r="F31">
        <v>23500000</v>
      </c>
      <c r="H31">
        <v>23500000</v>
      </c>
      <c r="L31" t="str">
        <f>VLOOKUP(B31,players!A:B,2)</f>
        <v>Alperen Şengün</v>
      </c>
    </row>
    <row r="32" spans="1:12" x14ac:dyDescent="0.25">
      <c r="A32">
        <v>2</v>
      </c>
      <c r="B32">
        <v>96</v>
      </c>
      <c r="C32">
        <v>3</v>
      </c>
      <c r="D32">
        <v>15000000</v>
      </c>
      <c r="L32" t="str">
        <f>VLOOKUP(B32,players!A:B,2)</f>
        <v>Kevin Durant</v>
      </c>
    </row>
    <row r="33" spans="1:12" x14ac:dyDescent="0.25">
      <c r="A33">
        <v>2</v>
      </c>
      <c r="B33">
        <v>136</v>
      </c>
      <c r="C33">
        <v>4</v>
      </c>
      <c r="D33">
        <v>9000000</v>
      </c>
      <c r="L33" t="str">
        <f>VLOOKUP(B33,players!A:B,2)</f>
        <v>Brandon Miller</v>
      </c>
    </row>
    <row r="34" spans="1:12" x14ac:dyDescent="0.25">
      <c r="A34">
        <v>2</v>
      </c>
      <c r="B34">
        <v>219</v>
      </c>
      <c r="C34">
        <v>5</v>
      </c>
      <c r="D34">
        <v>7000000</v>
      </c>
      <c r="F34">
        <v>7000000</v>
      </c>
      <c r="H34">
        <v>7000000</v>
      </c>
      <c r="L34" t="str">
        <f>VLOOKUP(B34,players!A:B,2)</f>
        <v>Jalen Green</v>
      </c>
    </row>
    <row r="35" spans="1:12" x14ac:dyDescent="0.25">
      <c r="A35">
        <v>2</v>
      </c>
      <c r="B35">
        <v>144</v>
      </c>
      <c r="C35">
        <v>6</v>
      </c>
      <c r="D35">
        <v>6000000</v>
      </c>
      <c r="F35">
        <v>6000000</v>
      </c>
      <c r="L35" t="str">
        <f>VLOOKUP(B35,players!A:B,2)</f>
        <v>Tyler Herro</v>
      </c>
    </row>
    <row r="36" spans="1:12" x14ac:dyDescent="0.25">
      <c r="A36">
        <v>2</v>
      </c>
      <c r="B36">
        <v>362</v>
      </c>
      <c r="C36">
        <v>7</v>
      </c>
      <c r="D36">
        <v>21500000</v>
      </c>
      <c r="F36">
        <v>21500000</v>
      </c>
      <c r="H36">
        <v>21500000</v>
      </c>
      <c r="L36" t="str">
        <f>VLOOKUP(B36,players!A:B,2)</f>
        <v>Trae Young</v>
      </c>
    </row>
    <row r="37" spans="1:12" x14ac:dyDescent="0.25">
      <c r="A37">
        <v>2</v>
      </c>
      <c r="B37">
        <v>103</v>
      </c>
      <c r="C37">
        <v>8</v>
      </c>
      <c r="L37" t="str">
        <f>VLOOKUP(B37,players!A:B,2)</f>
        <v>Russell Westbrook</v>
      </c>
    </row>
    <row r="38" spans="1:12" x14ac:dyDescent="0.25">
      <c r="A38">
        <v>2</v>
      </c>
      <c r="B38">
        <v>69</v>
      </c>
      <c r="C38">
        <v>10</v>
      </c>
      <c r="D38">
        <v>3100000</v>
      </c>
      <c r="F38">
        <v>3100000</v>
      </c>
      <c r="H38">
        <v>3100000</v>
      </c>
      <c r="L38" t="str">
        <f>VLOOKUP(B38,players!A:B,2)</f>
        <v>Bobby Portis</v>
      </c>
    </row>
    <row r="39" spans="1:12" x14ac:dyDescent="0.25">
      <c r="A39">
        <v>3</v>
      </c>
      <c r="B39">
        <v>184</v>
      </c>
      <c r="C39">
        <v>1</v>
      </c>
      <c r="D39">
        <v>8000000</v>
      </c>
      <c r="F39">
        <v>8000000</v>
      </c>
      <c r="L39" t="str">
        <f>VLOOKUP(B39,players!A:B,2)</f>
        <v>Immanuel Quickley</v>
      </c>
    </row>
    <row r="40" spans="1:12" x14ac:dyDescent="0.25">
      <c r="A40">
        <v>3</v>
      </c>
      <c r="B40">
        <v>237</v>
      </c>
      <c r="C40">
        <v>2</v>
      </c>
      <c r="L40" t="str">
        <f>VLOOKUP(B40,players!A:B,2)</f>
        <v>Nickeil Alexander-Walker</v>
      </c>
    </row>
    <row r="41" spans="1:12" x14ac:dyDescent="0.25">
      <c r="A41">
        <v>3</v>
      </c>
      <c r="B41">
        <v>119</v>
      </c>
      <c r="C41">
        <v>3</v>
      </c>
      <c r="L41" t="str">
        <f>VLOOKUP(B41,players!A:B,2)</f>
        <v>Kyshawn George</v>
      </c>
    </row>
    <row r="42" spans="1:12" x14ac:dyDescent="0.25">
      <c r="A42">
        <v>3</v>
      </c>
      <c r="B42">
        <v>206</v>
      </c>
      <c r="C42">
        <v>4</v>
      </c>
      <c r="D42">
        <v>5000000</v>
      </c>
      <c r="L42" t="str">
        <f>VLOOKUP(B42,players!A:B,2)</f>
        <v>Cameron Johnson</v>
      </c>
    </row>
    <row r="43" spans="1:12" x14ac:dyDescent="0.25">
      <c r="A43">
        <v>3</v>
      </c>
      <c r="B43">
        <v>112</v>
      </c>
      <c r="C43">
        <v>5</v>
      </c>
      <c r="L43" t="str">
        <f>VLOOKUP(B43,players!A:B,2)</f>
        <v>Myles Turner</v>
      </c>
    </row>
    <row r="44" spans="1:12" x14ac:dyDescent="0.25">
      <c r="A44">
        <v>3</v>
      </c>
      <c r="B44">
        <v>23</v>
      </c>
      <c r="C44">
        <v>6</v>
      </c>
      <c r="L44" t="str">
        <f>VLOOKUP(B44,players!A:B,2)</f>
        <v>Mitchell Robinson</v>
      </c>
    </row>
    <row r="45" spans="1:12" x14ac:dyDescent="0.25">
      <c r="A45">
        <v>3</v>
      </c>
      <c r="B45">
        <v>11</v>
      </c>
      <c r="C45">
        <v>7</v>
      </c>
      <c r="L45" t="str">
        <f>VLOOKUP(B45,players!A:B,2)</f>
        <v>Jalen Duren</v>
      </c>
    </row>
    <row r="46" spans="1:12" x14ac:dyDescent="0.25">
      <c r="A46">
        <v>3</v>
      </c>
      <c r="B46">
        <v>36</v>
      </c>
      <c r="C46">
        <v>8</v>
      </c>
      <c r="D46">
        <v>40000000</v>
      </c>
      <c r="F46">
        <v>40000000</v>
      </c>
      <c r="H46">
        <v>40000000</v>
      </c>
      <c r="L46" t="str">
        <f>VLOOKUP(B46,players!A:B,2)</f>
        <v>Luka Dončić</v>
      </c>
    </row>
    <row r="47" spans="1:12" x14ac:dyDescent="0.25">
      <c r="A47">
        <v>3</v>
      </c>
      <c r="B47">
        <v>68</v>
      </c>
      <c r="C47">
        <v>9</v>
      </c>
      <c r="D47">
        <v>6000000</v>
      </c>
      <c r="L47" t="str">
        <f>VLOOKUP(B47,players!A:B,2)</f>
        <v>Kawhi Leonard</v>
      </c>
    </row>
    <row r="48" spans="1:12" x14ac:dyDescent="0.25">
      <c r="A48">
        <v>3</v>
      </c>
      <c r="B48">
        <v>85</v>
      </c>
      <c r="C48">
        <v>10</v>
      </c>
      <c r="D48">
        <v>14000000</v>
      </c>
      <c r="F48">
        <v>14000000</v>
      </c>
      <c r="L48" t="str">
        <f>VLOOKUP(B48,players!A:B,2)</f>
        <v>Jaren Jackson Jr.</v>
      </c>
    </row>
    <row r="49" spans="1:12" x14ac:dyDescent="0.25">
      <c r="A49">
        <v>3</v>
      </c>
      <c r="B49">
        <v>117</v>
      </c>
      <c r="C49">
        <v>11</v>
      </c>
      <c r="D49">
        <v>6500000</v>
      </c>
      <c r="F49">
        <v>6500000</v>
      </c>
      <c r="H49">
        <v>6500000</v>
      </c>
      <c r="L49" t="str">
        <f>VLOOKUP(B49,players!A:B,2)</f>
        <v>OG Anunoby</v>
      </c>
    </row>
    <row r="50" spans="1:12" x14ac:dyDescent="0.25">
      <c r="A50">
        <v>3</v>
      </c>
      <c r="B50">
        <v>142</v>
      </c>
      <c r="C50">
        <v>12</v>
      </c>
      <c r="D50">
        <v>5000000</v>
      </c>
      <c r="L50" t="str">
        <f>VLOOKUP(B50,players!A:B,2)</f>
        <v>Kyrie Irving</v>
      </c>
    </row>
    <row r="51" spans="1:12" x14ac:dyDescent="0.25">
      <c r="A51">
        <v>3</v>
      </c>
      <c r="B51">
        <v>295</v>
      </c>
      <c r="C51">
        <v>13</v>
      </c>
      <c r="D51">
        <v>8000000</v>
      </c>
      <c r="L51" t="str">
        <f>VLOOKUP(B51,players!A:B,2)</f>
        <v>Zach LaVine</v>
      </c>
    </row>
    <row r="52" spans="1:12" x14ac:dyDescent="0.25">
      <c r="A52">
        <v>4</v>
      </c>
      <c r="B52">
        <v>379</v>
      </c>
      <c r="C52">
        <v>1</v>
      </c>
      <c r="D52">
        <v>1000000</v>
      </c>
      <c r="F52">
        <v>1000000</v>
      </c>
      <c r="G52" t="s">
        <v>571</v>
      </c>
      <c r="H52">
        <v>1000000</v>
      </c>
      <c r="I52" t="s">
        <v>571</v>
      </c>
      <c r="L52" t="str">
        <f>VLOOKUP(B52,players!A:B,2)</f>
        <v>Nolan Traoré</v>
      </c>
    </row>
    <row r="53" spans="1:12" x14ac:dyDescent="0.25">
      <c r="A53">
        <v>4</v>
      </c>
      <c r="B53">
        <v>364</v>
      </c>
      <c r="C53">
        <v>2</v>
      </c>
      <c r="D53">
        <v>1000000</v>
      </c>
      <c r="F53">
        <v>1000000</v>
      </c>
      <c r="G53" t="s">
        <v>571</v>
      </c>
      <c r="L53" t="str">
        <f>VLOOKUP(B53,players!A:B,2)</f>
        <v>Jared McCain</v>
      </c>
    </row>
    <row r="54" spans="1:12" x14ac:dyDescent="0.25">
      <c r="A54">
        <v>4</v>
      </c>
      <c r="B54">
        <v>104</v>
      </c>
      <c r="C54">
        <v>3</v>
      </c>
      <c r="L54" t="str">
        <f>VLOOKUP(B54,players!A:B,2)</f>
        <v>Keldon Johnson</v>
      </c>
    </row>
    <row r="55" spans="1:12" x14ac:dyDescent="0.25">
      <c r="A55">
        <v>4</v>
      </c>
      <c r="B55">
        <v>62</v>
      </c>
      <c r="C55">
        <v>4</v>
      </c>
      <c r="D55">
        <v>2500000</v>
      </c>
      <c r="L55" t="str">
        <f>VLOOKUP(B55,players!A:B,2)</f>
        <v>Santi Aldama</v>
      </c>
    </row>
    <row r="56" spans="1:12" x14ac:dyDescent="0.25">
      <c r="A56">
        <v>4</v>
      </c>
      <c r="B56">
        <v>33</v>
      </c>
      <c r="C56">
        <v>5</v>
      </c>
      <c r="D56">
        <v>11000000</v>
      </c>
      <c r="L56" t="str">
        <f>VLOOKUP(B56,players!A:B,2)</f>
        <v>Deandre Ayton</v>
      </c>
    </row>
    <row r="57" spans="1:12" x14ac:dyDescent="0.25">
      <c r="A57">
        <v>4</v>
      </c>
      <c r="B57">
        <v>57</v>
      </c>
      <c r="C57">
        <v>6</v>
      </c>
      <c r="D57">
        <v>5000000</v>
      </c>
      <c r="F57">
        <v>5000000</v>
      </c>
      <c r="L57" t="str">
        <f>VLOOKUP(B57,players!A:B,2)</f>
        <v>Nic Claxton</v>
      </c>
    </row>
    <row r="58" spans="1:12" x14ac:dyDescent="0.25">
      <c r="A58">
        <v>4</v>
      </c>
      <c r="B58">
        <v>16</v>
      </c>
      <c r="C58">
        <v>7</v>
      </c>
      <c r="D58">
        <v>17000000</v>
      </c>
      <c r="F58">
        <v>17000000</v>
      </c>
      <c r="L58" t="str">
        <f>VLOOKUP(B58,players!A:B,2)</f>
        <v>Bam Adebayo</v>
      </c>
    </row>
    <row r="59" spans="1:12" x14ac:dyDescent="0.25">
      <c r="A59">
        <v>4</v>
      </c>
      <c r="B59">
        <v>53</v>
      </c>
      <c r="C59">
        <v>8</v>
      </c>
      <c r="D59">
        <v>22500000</v>
      </c>
      <c r="L59" t="str">
        <f>VLOOKUP(B59,players!A:B,2)</f>
        <v>Jaylen Brown</v>
      </c>
    </row>
    <row r="60" spans="1:12" x14ac:dyDescent="0.25">
      <c r="A60">
        <v>4</v>
      </c>
      <c r="B60">
        <v>110</v>
      </c>
      <c r="C60">
        <v>9</v>
      </c>
      <c r="D60">
        <v>5000000</v>
      </c>
      <c r="F60">
        <v>5500000</v>
      </c>
      <c r="G60" t="s">
        <v>571</v>
      </c>
      <c r="L60" t="str">
        <f>VLOOKUP(B60,players!A:B,2)</f>
        <v>Stephon Castle</v>
      </c>
    </row>
    <row r="61" spans="1:12" x14ac:dyDescent="0.25">
      <c r="A61">
        <v>4</v>
      </c>
      <c r="B61">
        <v>114</v>
      </c>
      <c r="C61">
        <v>10</v>
      </c>
      <c r="D61">
        <v>15000000</v>
      </c>
      <c r="F61">
        <v>15000000</v>
      </c>
      <c r="H61">
        <v>15000000</v>
      </c>
      <c r="L61" t="str">
        <f>VLOOKUP(B61,players!A:B,2)</f>
        <v>Franz Wagner</v>
      </c>
    </row>
    <row r="62" spans="1:12" x14ac:dyDescent="0.25">
      <c r="A62">
        <v>4</v>
      </c>
      <c r="B62">
        <v>157</v>
      </c>
      <c r="C62">
        <v>11</v>
      </c>
      <c r="D62">
        <v>19000000</v>
      </c>
      <c r="F62">
        <v>19000000</v>
      </c>
      <c r="H62">
        <v>19000000</v>
      </c>
      <c r="L62" t="str">
        <f>VLOOKUP(B62,players!A:B,2)</f>
        <v>Donovan Mitchell</v>
      </c>
    </row>
    <row r="63" spans="1:12" x14ac:dyDescent="0.25">
      <c r="A63">
        <v>4</v>
      </c>
      <c r="B63">
        <v>287</v>
      </c>
      <c r="C63">
        <v>12</v>
      </c>
      <c r="D63">
        <v>10000000</v>
      </c>
      <c r="L63" t="str">
        <f>VLOOKUP(B63,players!A:B,2)</f>
        <v>DeMar DeRozan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571</v>
      </c>
      <c r="H65">
        <v>4100000</v>
      </c>
      <c r="I65" t="s">
        <v>571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571</v>
      </c>
      <c r="H69">
        <v>1000000</v>
      </c>
      <c r="I69" t="s">
        <v>571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L74" t="str">
        <f>VLOOKUP(B74,players!A:B,2)</f>
        <v>Michael Porter Jr.</v>
      </c>
    </row>
    <row r="75" spans="1:12" x14ac:dyDescent="0.25">
      <c r="A75">
        <v>5</v>
      </c>
      <c r="B75">
        <v>148</v>
      </c>
      <c r="C75">
        <v>12</v>
      </c>
      <c r="L75" t="str">
        <f>VLOOKUP(B75,players!A:B,2)</f>
        <v>Royce O'Neale</v>
      </c>
    </row>
    <row r="76" spans="1:12" x14ac:dyDescent="0.25">
      <c r="A76">
        <v>5</v>
      </c>
      <c r="B76">
        <v>152</v>
      </c>
      <c r="C76">
        <v>12</v>
      </c>
      <c r="L76" t="str">
        <f>VLOOKUP(B76,players!A:B,2)</f>
        <v>Ryan Rollins</v>
      </c>
    </row>
    <row r="77" spans="1:12" x14ac:dyDescent="0.25">
      <c r="A77">
        <v>5</v>
      </c>
      <c r="B77">
        <v>418</v>
      </c>
      <c r="C77">
        <v>13</v>
      </c>
      <c r="D77">
        <v>8000000</v>
      </c>
      <c r="F77">
        <v>8500000</v>
      </c>
      <c r="H77">
        <v>9250000</v>
      </c>
      <c r="I77" t="s">
        <v>571</v>
      </c>
      <c r="J77">
        <v>10000000</v>
      </c>
      <c r="K77" t="s">
        <v>571</v>
      </c>
      <c r="L77" t="str">
        <f>VLOOKUP(B77,players!A:B,2)</f>
        <v>Caleb Wilson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L90" t="str">
        <f>VLOOKUP(B90,players!A:B,2)</f>
        <v>Damian Lillard</v>
      </c>
    </row>
    <row r="91" spans="1:12" x14ac:dyDescent="0.25">
      <c r="A91">
        <v>6</v>
      </c>
      <c r="B91">
        <v>93</v>
      </c>
      <c r="C91">
        <v>14</v>
      </c>
      <c r="D91">
        <v>6000000</v>
      </c>
      <c r="F91">
        <v>6000000</v>
      </c>
      <c r="L91" t="str">
        <f>VLOOKUP(B91,players!A:B,2)</f>
        <v>Jonathan Kuminga</v>
      </c>
    </row>
    <row r="92" spans="1:12" x14ac:dyDescent="0.25">
      <c r="A92">
        <v>6</v>
      </c>
      <c r="B92">
        <v>71</v>
      </c>
      <c r="C92">
        <v>15</v>
      </c>
      <c r="L92" t="str">
        <f>VLOOKUP(B92,players!A:B,2)</f>
        <v>Tari Eason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571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571</v>
      </c>
      <c r="H95">
        <v>1000000</v>
      </c>
      <c r="I95" t="s">
        <v>571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571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8</v>
      </c>
      <c r="B105">
        <v>59</v>
      </c>
      <c r="C105">
        <v>13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9</v>
      </c>
      <c r="B107">
        <v>384</v>
      </c>
      <c r="C107">
        <v>1</v>
      </c>
      <c r="D107">
        <v>3100000</v>
      </c>
      <c r="F107">
        <v>3100000</v>
      </c>
      <c r="H107">
        <v>3100000</v>
      </c>
      <c r="L107" t="str">
        <f>VLOOKUP(B107,players!A:B,2)</f>
        <v>Cam Thomas</v>
      </c>
    </row>
    <row r="108" spans="1:12" x14ac:dyDescent="0.25">
      <c r="A108">
        <v>9</v>
      </c>
      <c r="B108">
        <v>240</v>
      </c>
      <c r="C108">
        <v>2</v>
      </c>
      <c r="L108" t="str">
        <f>VLOOKUP(B108,players!A:B,2)</f>
        <v>Ayo Dosunmu</v>
      </c>
    </row>
    <row r="109" spans="1:12" x14ac:dyDescent="0.25">
      <c r="A109">
        <v>9</v>
      </c>
      <c r="B109">
        <v>186</v>
      </c>
      <c r="C109">
        <v>3</v>
      </c>
      <c r="D109">
        <v>4500000</v>
      </c>
      <c r="L109" t="str">
        <f>VLOOKUP(B109,players!A:B,2)</f>
        <v>Devin Vassell</v>
      </c>
    </row>
    <row r="110" spans="1:12" x14ac:dyDescent="0.25">
      <c r="A110">
        <v>9</v>
      </c>
      <c r="B110">
        <v>251</v>
      </c>
      <c r="C110">
        <v>4</v>
      </c>
      <c r="L110" t="str">
        <f>VLOOKUP(B110,players!A:B,2)</f>
        <v>Rui Hachimura</v>
      </c>
    </row>
    <row r="111" spans="1:12" x14ac:dyDescent="0.25">
      <c r="A111">
        <v>9</v>
      </c>
      <c r="B111">
        <v>416</v>
      </c>
      <c r="C111">
        <v>5</v>
      </c>
      <c r="L111" t="str">
        <f>VLOOKUP(B111,players!A:B,2)</f>
        <v>Clint Capela</v>
      </c>
    </row>
    <row r="112" spans="1:12" x14ac:dyDescent="0.25">
      <c r="A112">
        <v>9</v>
      </c>
      <c r="B112">
        <v>170</v>
      </c>
      <c r="C112">
        <v>6</v>
      </c>
      <c r="D112">
        <v>3100000</v>
      </c>
      <c r="F112">
        <v>3100000</v>
      </c>
      <c r="H112">
        <v>3100000</v>
      </c>
      <c r="L112" t="str">
        <f>VLOOKUP(B112,players!A:B,2)</f>
        <v>Jaden McDaniels</v>
      </c>
    </row>
    <row r="113" spans="1:12" x14ac:dyDescent="0.25">
      <c r="A113">
        <v>9</v>
      </c>
      <c r="B113">
        <v>15</v>
      </c>
      <c r="C113">
        <v>7</v>
      </c>
      <c r="D113">
        <v>32000000</v>
      </c>
      <c r="F113">
        <v>32000000</v>
      </c>
      <c r="H113">
        <v>32000000</v>
      </c>
      <c r="L113" t="str">
        <f>VLOOKUP(B113,players!A:B,2)</f>
        <v>Jayson Tatum</v>
      </c>
    </row>
    <row r="114" spans="1:12" x14ac:dyDescent="0.25">
      <c r="A114">
        <v>9</v>
      </c>
      <c r="B114">
        <v>26</v>
      </c>
      <c r="C114">
        <v>8</v>
      </c>
      <c r="D114">
        <v>12500000</v>
      </c>
      <c r="F114">
        <v>12500000</v>
      </c>
      <c r="H114">
        <v>12500000</v>
      </c>
      <c r="L114" t="str">
        <f>VLOOKUP(B114,players!A:B,2)</f>
        <v>Jarrett Allen</v>
      </c>
    </row>
    <row r="115" spans="1:12" x14ac:dyDescent="0.25">
      <c r="A115">
        <v>9</v>
      </c>
      <c r="B115">
        <v>89</v>
      </c>
      <c r="C115">
        <v>9</v>
      </c>
      <c r="D115">
        <v>11500000</v>
      </c>
      <c r="L115" t="str">
        <f>VLOOKUP(B115,players!A:B,2)</f>
        <v>Brandon Ingram</v>
      </c>
    </row>
    <row r="116" spans="1:12" x14ac:dyDescent="0.25">
      <c r="A116">
        <v>9</v>
      </c>
      <c r="B116">
        <v>167</v>
      </c>
      <c r="C116">
        <v>10</v>
      </c>
      <c r="D116">
        <v>3100000</v>
      </c>
      <c r="F116">
        <v>3100000</v>
      </c>
      <c r="H116">
        <v>3100000</v>
      </c>
      <c r="L116" t="str">
        <f>VLOOKUP(B116,players!A:B,2)</f>
        <v>Shaedon Sharpe</v>
      </c>
    </row>
    <row r="117" spans="1:12" x14ac:dyDescent="0.25">
      <c r="A117">
        <v>9</v>
      </c>
      <c r="B117">
        <v>217</v>
      </c>
      <c r="C117">
        <v>11</v>
      </c>
      <c r="D117">
        <v>25000000</v>
      </c>
      <c r="L117" t="str">
        <f>VLOOKUP(B117,players!A:B,2)</f>
        <v>Stephen Curry</v>
      </c>
    </row>
    <row r="118" spans="1:12" x14ac:dyDescent="0.25">
      <c r="A118">
        <v>9</v>
      </c>
      <c r="B118">
        <v>331</v>
      </c>
      <c r="C118">
        <v>12</v>
      </c>
      <c r="D118">
        <v>12000000</v>
      </c>
      <c r="F118">
        <v>12000000</v>
      </c>
      <c r="H118">
        <v>12000000</v>
      </c>
      <c r="L118" t="str">
        <f>VLOOKUP(B118,players!A:B,2)</f>
        <v>Darius Garland</v>
      </c>
    </row>
    <row r="119" spans="1:12" x14ac:dyDescent="0.25">
      <c r="A119">
        <v>10</v>
      </c>
      <c r="B119">
        <v>9</v>
      </c>
      <c r="C119">
        <v>1</v>
      </c>
      <c r="L119" t="str">
        <f>VLOOKUP(B119,players!A:B,2)</f>
        <v>Walker Kessler</v>
      </c>
    </row>
    <row r="120" spans="1:12" x14ac:dyDescent="0.25">
      <c r="A120">
        <v>10</v>
      </c>
      <c r="B120">
        <v>373</v>
      </c>
      <c r="C120">
        <v>2</v>
      </c>
      <c r="L120" t="str">
        <f>VLOOKUP(B120,players!A:B,2)</f>
        <v>Malik Monk</v>
      </c>
    </row>
    <row r="121" spans="1:12" x14ac:dyDescent="0.25">
      <c r="A121">
        <v>10</v>
      </c>
      <c r="B121">
        <v>249</v>
      </c>
      <c r="C121">
        <v>3</v>
      </c>
      <c r="L121" t="str">
        <f>VLOOKUP(B121,players!A:B,2)</f>
        <v>Ajay Mitchell</v>
      </c>
    </row>
    <row r="122" spans="1:12" x14ac:dyDescent="0.25">
      <c r="A122">
        <v>10</v>
      </c>
      <c r="B122">
        <v>169</v>
      </c>
      <c r="C122">
        <v>4</v>
      </c>
      <c r="D122">
        <v>4100000</v>
      </c>
      <c r="L122" t="str">
        <f>VLOOKUP(B122,players!A:B,2)</f>
        <v>Bilal Coulibaly</v>
      </c>
    </row>
    <row r="123" spans="1:12" x14ac:dyDescent="0.25">
      <c r="A123">
        <v>10</v>
      </c>
      <c r="B123">
        <v>34</v>
      </c>
      <c r="C123">
        <v>5</v>
      </c>
      <c r="D123">
        <v>6000000</v>
      </c>
      <c r="F123">
        <v>6000000</v>
      </c>
      <c r="L123" t="str">
        <f>VLOOKUP(B123,players!A:B,2)</f>
        <v>Mark Williams</v>
      </c>
    </row>
    <row r="124" spans="1:12" x14ac:dyDescent="0.25">
      <c r="A124">
        <v>10</v>
      </c>
      <c r="B124">
        <v>168</v>
      </c>
      <c r="C124">
        <v>6</v>
      </c>
      <c r="D124">
        <v>1000000</v>
      </c>
      <c r="L124" t="str">
        <f>VLOOKUP(B124,players!A:B,2)</f>
        <v>GG Jackson II</v>
      </c>
    </row>
    <row r="125" spans="1:12" x14ac:dyDescent="0.25">
      <c r="A125">
        <v>10</v>
      </c>
      <c r="B125">
        <v>28</v>
      </c>
      <c r="C125">
        <v>7</v>
      </c>
      <c r="L125" t="str">
        <f>VLOOKUP(B125,players!A:B,2)</f>
        <v>Nikola Vučević</v>
      </c>
    </row>
    <row r="126" spans="1:12" x14ac:dyDescent="0.25">
      <c r="A126">
        <v>10</v>
      </c>
      <c r="B126">
        <v>44</v>
      </c>
      <c r="C126">
        <v>8</v>
      </c>
      <c r="D126">
        <v>9250000</v>
      </c>
      <c r="F126">
        <v>10000000</v>
      </c>
      <c r="G126" t="s">
        <v>571</v>
      </c>
      <c r="L126" t="str">
        <f>VLOOKUP(B126,players!A:B,2)</f>
        <v>Alex Sarr</v>
      </c>
    </row>
    <row r="127" spans="1:12" x14ac:dyDescent="0.25">
      <c r="A127">
        <v>10</v>
      </c>
      <c r="B127">
        <v>60</v>
      </c>
      <c r="C127">
        <v>9</v>
      </c>
      <c r="D127">
        <v>15000000</v>
      </c>
      <c r="F127">
        <v>15000000</v>
      </c>
      <c r="H127">
        <v>15000000</v>
      </c>
      <c r="L127" t="str">
        <f>VLOOKUP(B127,players!A:B,2)</f>
        <v>Julius Randle</v>
      </c>
    </row>
    <row r="128" spans="1:12" x14ac:dyDescent="0.25">
      <c r="A128">
        <v>10</v>
      </c>
      <c r="B128">
        <v>153</v>
      </c>
      <c r="C128">
        <v>10</v>
      </c>
      <c r="D128">
        <v>11000000</v>
      </c>
      <c r="F128">
        <v>11000000</v>
      </c>
      <c r="L128" t="str">
        <f>VLOOKUP(B128,players!A:B,2)</f>
        <v>Jalen Williams</v>
      </c>
    </row>
    <row r="129" spans="1:12" x14ac:dyDescent="0.25">
      <c r="A129">
        <v>10</v>
      </c>
      <c r="B129">
        <v>160</v>
      </c>
      <c r="C129">
        <v>11</v>
      </c>
      <c r="D129">
        <v>16000000</v>
      </c>
      <c r="F129">
        <v>16000000</v>
      </c>
      <c r="H129">
        <v>16000000</v>
      </c>
      <c r="L129" t="str">
        <f>VLOOKUP(B129,players!A:B,2)</f>
        <v>Jamal Murray</v>
      </c>
    </row>
    <row r="130" spans="1:12" x14ac:dyDescent="0.25">
      <c r="A130">
        <v>10</v>
      </c>
      <c r="B130">
        <v>246</v>
      </c>
      <c r="C130">
        <v>12</v>
      </c>
      <c r="D130">
        <v>24000000</v>
      </c>
      <c r="L130" t="str">
        <f>VLOOKUP(B130,players!A:B,2)</f>
        <v>Jalen Brunson</v>
      </c>
    </row>
    <row r="131" spans="1:12" x14ac:dyDescent="0.25">
      <c r="A131">
        <v>11</v>
      </c>
      <c r="B131">
        <v>327</v>
      </c>
      <c r="C131">
        <v>1</v>
      </c>
      <c r="L131" t="str">
        <f>VLOOKUP(B131,players!A:B,2)</f>
        <v>Cole Anthony</v>
      </c>
    </row>
    <row r="132" spans="1:12" x14ac:dyDescent="0.25">
      <c r="A132">
        <v>11</v>
      </c>
      <c r="B132">
        <v>213</v>
      </c>
      <c r="C132">
        <v>2</v>
      </c>
      <c r="L132" t="str">
        <f>VLOOKUP(B132,players!A:B,2)</f>
        <v>Khris Middleton</v>
      </c>
    </row>
    <row r="133" spans="1:12" x14ac:dyDescent="0.25">
      <c r="A133">
        <v>11</v>
      </c>
      <c r="B133">
        <v>111</v>
      </c>
      <c r="C133">
        <v>3</v>
      </c>
      <c r="D133">
        <v>1000000</v>
      </c>
      <c r="L133" t="str">
        <f>VLOOKUP(B133,players!A:B,2)</f>
        <v>John Collins</v>
      </c>
    </row>
    <row r="134" spans="1:12" x14ac:dyDescent="0.25">
      <c r="A134">
        <v>11</v>
      </c>
      <c r="B134">
        <v>58</v>
      </c>
      <c r="C134">
        <v>4</v>
      </c>
      <c r="L134" t="str">
        <f>VLOOKUP(B134,players!A:B,2)</f>
        <v>Daniel Gafford</v>
      </c>
    </row>
    <row r="135" spans="1:12" x14ac:dyDescent="0.25">
      <c r="A135">
        <v>11</v>
      </c>
      <c r="B135">
        <v>18</v>
      </c>
      <c r="C135">
        <v>5</v>
      </c>
      <c r="D135">
        <v>1000000</v>
      </c>
      <c r="L135" t="str">
        <f>VLOOKUP(B135,players!A:B,2)</f>
        <v>Isaiah Hartenstein</v>
      </c>
    </row>
    <row r="136" spans="1:12" x14ac:dyDescent="0.25">
      <c r="A136">
        <v>11</v>
      </c>
      <c r="B136">
        <v>63</v>
      </c>
      <c r="C136">
        <v>6</v>
      </c>
      <c r="L136" t="str">
        <f>VLOOKUP(B136,players!A:B,2)</f>
        <v>Jalen Smith</v>
      </c>
    </row>
    <row r="137" spans="1:12" x14ac:dyDescent="0.25">
      <c r="A137">
        <v>11</v>
      </c>
      <c r="B137">
        <v>6</v>
      </c>
      <c r="C137">
        <v>7</v>
      </c>
      <c r="D137">
        <v>26000000</v>
      </c>
      <c r="L137" t="str">
        <f>VLOOKUP(B137,players!A:B,2)</f>
        <v>Domantas Sabonis</v>
      </c>
    </row>
    <row r="138" spans="1:12" x14ac:dyDescent="0.25">
      <c r="A138">
        <v>11</v>
      </c>
      <c r="B138">
        <v>177</v>
      </c>
      <c r="C138">
        <v>8</v>
      </c>
      <c r="D138">
        <v>15000000</v>
      </c>
      <c r="L138" t="str">
        <f>VLOOKUP(B138,players!A:B,2)</f>
        <v>Desmond Bane</v>
      </c>
    </row>
    <row r="139" spans="1:12" x14ac:dyDescent="0.25">
      <c r="A139">
        <v>11</v>
      </c>
      <c r="B139">
        <v>35</v>
      </c>
      <c r="C139">
        <v>9</v>
      </c>
      <c r="D139">
        <v>7500000</v>
      </c>
      <c r="L139" t="str">
        <f>VLOOKUP(B139,players!A:B,2)</f>
        <v>Amen Thompson</v>
      </c>
    </row>
    <row r="140" spans="1:12" x14ac:dyDescent="0.25">
      <c r="A140">
        <v>11</v>
      </c>
      <c r="B140">
        <v>166</v>
      </c>
      <c r="C140">
        <v>10</v>
      </c>
      <c r="D140">
        <v>30000000</v>
      </c>
      <c r="F140">
        <v>30000000</v>
      </c>
      <c r="H140">
        <v>30000000</v>
      </c>
      <c r="L140" t="str">
        <f>VLOOKUP(B140,players!A:B,2)</f>
        <v>Shai Gilgeous-Alexander</v>
      </c>
    </row>
    <row r="141" spans="1:12" x14ac:dyDescent="0.25">
      <c r="A141">
        <v>11</v>
      </c>
      <c r="B141">
        <v>248</v>
      </c>
      <c r="C141">
        <v>11</v>
      </c>
      <c r="D141">
        <v>1000000</v>
      </c>
      <c r="L141" t="str">
        <f>VLOOKUP(B141,players!A:B,2)</f>
        <v>CJ McCollum</v>
      </c>
    </row>
    <row r="142" spans="1:12" x14ac:dyDescent="0.25">
      <c r="A142">
        <v>11</v>
      </c>
      <c r="B142">
        <v>109</v>
      </c>
      <c r="C142">
        <v>12</v>
      </c>
      <c r="L142" t="str">
        <f>VLOOKUP(B142,players!A:B,2)</f>
        <v>Paul George</v>
      </c>
    </row>
    <row r="143" spans="1:12" x14ac:dyDescent="0.25">
      <c r="A143">
        <v>11</v>
      </c>
      <c r="B143">
        <v>266</v>
      </c>
      <c r="C143">
        <v>13</v>
      </c>
      <c r="L143" t="str">
        <f>VLOOKUP(B143,players!A:B,2)</f>
        <v>Moritz Wagner</v>
      </c>
    </row>
    <row r="144" spans="1:12" x14ac:dyDescent="0.25">
      <c r="A144">
        <v>11</v>
      </c>
      <c r="B144">
        <v>195</v>
      </c>
      <c r="C144">
        <v>14</v>
      </c>
      <c r="L144" t="str">
        <f>VLOOKUP(B144,players!A:B,2)</f>
        <v>Payton Pritchard</v>
      </c>
    </row>
    <row r="145" spans="1:12" x14ac:dyDescent="0.25">
      <c r="A145">
        <v>12</v>
      </c>
      <c r="B145">
        <v>403</v>
      </c>
      <c r="C145">
        <v>1</v>
      </c>
      <c r="D145">
        <v>5000000</v>
      </c>
      <c r="F145">
        <v>5000000</v>
      </c>
      <c r="L145" t="str">
        <f>VLOOKUP(B145,players!A:B,2)</f>
        <v>Bradley Beal</v>
      </c>
    </row>
    <row r="146" spans="1:12" x14ac:dyDescent="0.25">
      <c r="A146">
        <v>12</v>
      </c>
      <c r="B146">
        <v>345</v>
      </c>
      <c r="C146">
        <v>2</v>
      </c>
      <c r="D146">
        <v>3500000</v>
      </c>
      <c r="F146">
        <v>3500000</v>
      </c>
      <c r="L146" t="str">
        <f>VLOOKUP(B146,players!A:B,2)</f>
        <v>Buddy Hield</v>
      </c>
    </row>
    <row r="147" spans="1:12" x14ac:dyDescent="0.25">
      <c r="A147">
        <v>12</v>
      </c>
      <c r="B147">
        <v>120</v>
      </c>
      <c r="C147">
        <v>3</v>
      </c>
      <c r="D147">
        <v>1000000</v>
      </c>
      <c r="L147" t="str">
        <f>VLOOKUP(B147,players!A:B,2)</f>
        <v>Brandin Podziemski</v>
      </c>
    </row>
    <row r="148" spans="1:12" x14ac:dyDescent="0.25">
      <c r="A148">
        <v>12</v>
      </c>
      <c r="B148">
        <v>22</v>
      </c>
      <c r="C148">
        <v>4</v>
      </c>
      <c r="L148" t="str">
        <f>VLOOKUP(B148,players!A:B,2)</f>
        <v>Chet Holmgren</v>
      </c>
    </row>
    <row r="149" spans="1:12" x14ac:dyDescent="0.25">
      <c r="A149">
        <v>12</v>
      </c>
      <c r="B149">
        <v>54</v>
      </c>
      <c r="C149">
        <v>5</v>
      </c>
      <c r="D149">
        <v>11000000</v>
      </c>
      <c r="L149" t="str">
        <f>VLOOKUP(B149,players!A:B,2)</f>
        <v>Lauri Markkanen</v>
      </c>
    </row>
    <row r="150" spans="1:12" x14ac:dyDescent="0.25">
      <c r="A150">
        <v>12</v>
      </c>
      <c r="B150">
        <v>194</v>
      </c>
      <c r="C150">
        <v>6</v>
      </c>
      <c r="D150">
        <v>20000000</v>
      </c>
      <c r="F150">
        <v>20000000</v>
      </c>
      <c r="L150" t="str">
        <f>VLOOKUP(B150,players!A:B,2)</f>
        <v>Devin Booker</v>
      </c>
    </row>
    <row r="151" spans="1:12" x14ac:dyDescent="0.25">
      <c r="A151">
        <v>12</v>
      </c>
      <c r="B151">
        <v>226</v>
      </c>
      <c r="C151">
        <v>7</v>
      </c>
      <c r="D151">
        <v>18000000</v>
      </c>
      <c r="F151">
        <v>18000000</v>
      </c>
      <c r="H151">
        <v>18000000</v>
      </c>
      <c r="L151" t="str">
        <f>VLOOKUP(B151,players!A:B,2)</f>
        <v>Tyrese Haliburton</v>
      </c>
    </row>
    <row r="152" spans="1:12" x14ac:dyDescent="0.25">
      <c r="A152">
        <v>12</v>
      </c>
      <c r="B152">
        <v>115</v>
      </c>
      <c r="C152">
        <v>8</v>
      </c>
      <c r="D152">
        <v>2500000</v>
      </c>
      <c r="L152" t="str">
        <f>VLOOKUP(B152,players!A:B,2)</f>
        <v>Kevin Porter Jr.</v>
      </c>
    </row>
    <row r="153" spans="1:12" x14ac:dyDescent="0.25">
      <c r="A153">
        <v>12</v>
      </c>
      <c r="B153">
        <v>417</v>
      </c>
      <c r="C153">
        <v>9</v>
      </c>
      <c r="D153">
        <v>9000000</v>
      </c>
      <c r="F153">
        <v>9500000</v>
      </c>
      <c r="H153">
        <v>10500000</v>
      </c>
      <c r="I153" t="s">
        <v>571</v>
      </c>
      <c r="J153">
        <v>11500000</v>
      </c>
      <c r="L153" t="str">
        <f>VLOOKUP(B153,players!A:B,2)</f>
        <v>A.J. Dybantsa</v>
      </c>
    </row>
    <row r="154" spans="1:12" x14ac:dyDescent="0.25">
      <c r="A154">
        <v>13</v>
      </c>
      <c r="B154">
        <v>307</v>
      </c>
      <c r="C154">
        <v>1</v>
      </c>
      <c r="D154">
        <v>1000000</v>
      </c>
      <c r="L154" t="str">
        <f>VLOOKUP(B154,players!A:B,2)</f>
        <v>Davion Mitchell</v>
      </c>
    </row>
    <row r="155" spans="1:12" x14ac:dyDescent="0.25">
      <c r="A155">
        <v>13</v>
      </c>
      <c r="B155">
        <v>363</v>
      </c>
      <c r="C155">
        <v>2</v>
      </c>
      <c r="L155" t="str">
        <f>VLOOKUP(B155,players!A:B,2)</f>
        <v>Jordan Poole</v>
      </c>
    </row>
    <row r="156" spans="1:12" x14ac:dyDescent="0.25">
      <c r="A156">
        <v>13</v>
      </c>
      <c r="B156">
        <v>296</v>
      </c>
      <c r="C156">
        <v>3</v>
      </c>
      <c r="D156">
        <v>3000000</v>
      </c>
      <c r="L156" t="str">
        <f>VLOOKUP(B156,players!A:B,2)</f>
        <v>Andrew Nembhard</v>
      </c>
    </row>
    <row r="157" spans="1:12" x14ac:dyDescent="0.25">
      <c r="A157">
        <v>13</v>
      </c>
      <c r="B157">
        <v>171</v>
      </c>
      <c r="C157">
        <v>4</v>
      </c>
      <c r="D157">
        <v>2000000</v>
      </c>
      <c r="L157" t="str">
        <f>VLOOKUP(B157,players!A:B,2)</f>
        <v>Aaron Nesmith</v>
      </c>
    </row>
    <row r="158" spans="1:12" x14ac:dyDescent="0.25">
      <c r="A158">
        <v>13</v>
      </c>
      <c r="B158">
        <v>10</v>
      </c>
      <c r="C158">
        <v>5</v>
      </c>
      <c r="L158" t="str">
        <f>VLOOKUP(B158,players!A:B,2)</f>
        <v>Ivica Zubac</v>
      </c>
    </row>
    <row r="159" spans="1:12" x14ac:dyDescent="0.25">
      <c r="A159">
        <v>13</v>
      </c>
      <c r="B159">
        <v>46</v>
      </c>
      <c r="C159">
        <v>6</v>
      </c>
      <c r="L159" t="str">
        <f>VLOOKUP(B159,players!A:B,2)</f>
        <v>Wendell Carter Jr.</v>
      </c>
    </row>
    <row r="160" spans="1:12" x14ac:dyDescent="0.25">
      <c r="A160">
        <v>13</v>
      </c>
      <c r="B160">
        <v>4</v>
      </c>
      <c r="C160">
        <v>7</v>
      </c>
      <c r="D160">
        <v>11500000</v>
      </c>
      <c r="L160" t="str">
        <f>VLOOKUP(B160,players!A:B,2)</f>
        <v>Victor Wembanyama</v>
      </c>
    </row>
    <row r="161" spans="1:12" x14ac:dyDescent="0.25">
      <c r="A161">
        <v>13</v>
      </c>
      <c r="B161">
        <v>32</v>
      </c>
      <c r="C161">
        <v>8</v>
      </c>
      <c r="D161">
        <v>16000000</v>
      </c>
      <c r="F161">
        <v>16000000</v>
      </c>
      <c r="H161">
        <v>16000000</v>
      </c>
      <c r="L161" t="str">
        <f>VLOOKUP(B161,players!A:B,2)</f>
        <v>Josh Giddey</v>
      </c>
    </row>
    <row r="162" spans="1:12" x14ac:dyDescent="0.25">
      <c r="A162">
        <v>13</v>
      </c>
      <c r="B162">
        <v>55</v>
      </c>
      <c r="C162">
        <v>9</v>
      </c>
      <c r="D162">
        <v>12000000</v>
      </c>
      <c r="F162">
        <v>12000000</v>
      </c>
      <c r="H162">
        <v>12000000</v>
      </c>
      <c r="L162" t="str">
        <f>VLOOKUP(B162,players!A:B,2)</f>
        <v>Deni Avdija</v>
      </c>
    </row>
    <row r="163" spans="1:12" x14ac:dyDescent="0.25">
      <c r="A163">
        <v>13</v>
      </c>
      <c r="B163">
        <v>66</v>
      </c>
      <c r="C163">
        <v>10</v>
      </c>
      <c r="D163">
        <v>19000000</v>
      </c>
      <c r="L163" t="str">
        <f>VLOOKUP(B163,players!A:B,2)</f>
        <v>Pascal Siakam</v>
      </c>
    </row>
    <row r="164" spans="1:12" x14ac:dyDescent="0.25">
      <c r="A164">
        <v>13</v>
      </c>
      <c r="B164">
        <v>150</v>
      </c>
      <c r="C164">
        <v>11</v>
      </c>
      <c r="D164">
        <v>6000000</v>
      </c>
      <c r="F164">
        <v>6000000</v>
      </c>
      <c r="H164">
        <v>6000000</v>
      </c>
      <c r="L164" t="str">
        <f>VLOOKUP(B164,players!A:B,2)</f>
        <v>Austin Reaves</v>
      </c>
    </row>
    <row r="165" spans="1:12" x14ac:dyDescent="0.25">
      <c r="A165">
        <v>14</v>
      </c>
      <c r="B165">
        <v>317</v>
      </c>
      <c r="C165">
        <v>1</v>
      </c>
      <c r="L165" t="str">
        <f>VLOOKUP(B165,players!A:B,2)</f>
        <v>Anfernee Simons</v>
      </c>
    </row>
    <row r="166" spans="1:12" x14ac:dyDescent="0.25">
      <c r="A166">
        <v>14</v>
      </c>
      <c r="B166">
        <v>299</v>
      </c>
      <c r="C166">
        <v>2</v>
      </c>
      <c r="L166" t="str">
        <f>VLOOKUP(B166,players!A:B,2)</f>
        <v>Marcus Smart</v>
      </c>
    </row>
    <row r="167" spans="1:12" x14ac:dyDescent="0.25">
      <c r="A167">
        <v>14</v>
      </c>
      <c r="B167">
        <v>129</v>
      </c>
      <c r="C167">
        <v>3</v>
      </c>
      <c r="L167" t="str">
        <f>VLOOKUP(B167,players!A:B,2)</f>
        <v>Jaime Jaquez Jr.</v>
      </c>
    </row>
    <row r="168" spans="1:12" x14ac:dyDescent="0.25">
      <c r="A168">
        <v>14</v>
      </c>
      <c r="B168">
        <v>90</v>
      </c>
      <c r="C168">
        <v>4</v>
      </c>
      <c r="L168" t="str">
        <f>VLOOKUP(B168,players!A:B,2)</f>
        <v>Jimmy Butler</v>
      </c>
    </row>
    <row r="169" spans="1:12" x14ac:dyDescent="0.25">
      <c r="A169">
        <v>14</v>
      </c>
      <c r="B169">
        <v>24</v>
      </c>
      <c r="C169">
        <v>5</v>
      </c>
      <c r="D169">
        <v>1000000</v>
      </c>
      <c r="L169" t="str">
        <f>VLOOKUP(B169,players!A:B,2)</f>
        <v>Moussa Diabaté</v>
      </c>
    </row>
    <row r="170" spans="1:12" x14ac:dyDescent="0.25">
      <c r="A170">
        <v>14</v>
      </c>
      <c r="B170">
        <v>238</v>
      </c>
      <c r="C170">
        <v>6</v>
      </c>
      <c r="D170">
        <v>3000000</v>
      </c>
      <c r="L170" t="str">
        <f>VLOOKUP(B170,players!A:B,2)</f>
        <v>Coby White</v>
      </c>
    </row>
    <row r="171" spans="1:12" x14ac:dyDescent="0.25">
      <c r="A171">
        <v>14</v>
      </c>
      <c r="B171">
        <v>19</v>
      </c>
      <c r="C171">
        <v>7</v>
      </c>
      <c r="D171">
        <v>20500000</v>
      </c>
      <c r="F171">
        <v>20500000</v>
      </c>
      <c r="H171">
        <v>20500000</v>
      </c>
      <c r="L171" t="str">
        <f>VLOOKUP(B171,players!A:B,2)</f>
        <v>Evan Mobley</v>
      </c>
    </row>
    <row r="172" spans="1:12" x14ac:dyDescent="0.25">
      <c r="A172">
        <v>14</v>
      </c>
      <c r="B172">
        <v>73</v>
      </c>
      <c r="C172">
        <v>8</v>
      </c>
      <c r="D172">
        <v>19500000</v>
      </c>
      <c r="L172" t="str">
        <f>VLOOKUP(B172,players!A:B,2)</f>
        <v>LeBron James</v>
      </c>
    </row>
    <row r="173" spans="1:12" x14ac:dyDescent="0.25">
      <c r="A173">
        <v>14</v>
      </c>
      <c r="B173">
        <v>61</v>
      </c>
      <c r="C173">
        <v>9</v>
      </c>
      <c r="D173">
        <v>9500000</v>
      </c>
      <c r="F173">
        <v>10500000</v>
      </c>
      <c r="G173" t="s">
        <v>571</v>
      </c>
      <c r="H173">
        <v>11500000</v>
      </c>
      <c r="I173" t="s">
        <v>571</v>
      </c>
      <c r="L173" t="str">
        <f>VLOOKUP(B173,players!A:B,2)</f>
        <v>Cooper Flagg</v>
      </c>
    </row>
    <row r="174" spans="1:12" x14ac:dyDescent="0.25">
      <c r="A174">
        <v>14</v>
      </c>
      <c r="B174">
        <v>2</v>
      </c>
      <c r="C174">
        <v>10</v>
      </c>
      <c r="L174" t="str">
        <f>VLOOKUP(B174,players!A:B,2)</f>
        <v>Karl-Anthony Towns</v>
      </c>
    </row>
    <row r="175" spans="1:12" x14ac:dyDescent="0.25">
      <c r="A175">
        <v>14</v>
      </c>
      <c r="B175">
        <v>220</v>
      </c>
      <c r="C175">
        <v>11</v>
      </c>
      <c r="L175" t="str">
        <f>VLOOKUP(B175,players!A:B,2)</f>
        <v>Quentin Grimes</v>
      </c>
    </row>
    <row r="176" spans="1:12" x14ac:dyDescent="0.25">
      <c r="A176">
        <v>14</v>
      </c>
      <c r="B176">
        <v>145</v>
      </c>
      <c r="C176">
        <v>12</v>
      </c>
      <c r="D176">
        <v>20000000</v>
      </c>
      <c r="F176">
        <v>20000000</v>
      </c>
      <c r="H176">
        <v>20000000</v>
      </c>
      <c r="L176" t="str">
        <f>VLOOKUP(B176,players!A:B,2)</f>
        <v>LaMelo Ball</v>
      </c>
    </row>
    <row r="177" spans="1:12" x14ac:dyDescent="0.25">
      <c r="A177">
        <v>14</v>
      </c>
      <c r="B177">
        <v>273</v>
      </c>
      <c r="C177">
        <v>13</v>
      </c>
      <c r="D177">
        <v>3200000</v>
      </c>
      <c r="F177">
        <v>3500000</v>
      </c>
      <c r="L177" t="str">
        <f>VLOOKUP(B177,players!A:B,2)</f>
        <v>Cason Wallace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ALMEIDA DE ANDRADE LIMA BRITO</cp:lastModifiedBy>
  <dcterms:created xsi:type="dcterms:W3CDTF">2026-05-25T20:54:06Z</dcterms:created>
  <dcterms:modified xsi:type="dcterms:W3CDTF">2026-07-15T14:11:18Z</dcterms:modified>
</cp:coreProperties>
</file>