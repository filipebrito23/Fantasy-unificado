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\ h:mm:ss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164" fontId="0" fillId="0" borderId="0" pivotButton="0" quotePrefix="0" xfId="1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8"/>
  <sheetViews>
    <sheetView tabSelected="1" topLeftCell="A106" workbookViewId="0">
      <selection activeCell="F121" sqref="F121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D14" sqref="D14"/>
    </sheetView>
  </sheetViews>
  <sheetFormatPr baseColWidth="8" defaultRowHeight="15"/>
  <cols>
    <col width="8" bestFit="1" customWidth="1" min="1" max="1"/>
    <col width="13.28515625" bestFit="1" customWidth="1" min="2" max="2"/>
    <col width="11.42578125" bestFit="1" customWidth="1" min="3" max="5"/>
    <col width="7.28515625" bestFit="1" customWidth="1" min="6" max="6"/>
  </cols>
  <sheetData>
    <row r="1">
      <c r="A1" t="inlineStr">
        <is>
          <t>team_id</t>
        </is>
      </c>
      <c r="B1" s="5" t="inlineStr">
        <is>
          <t>fine_26_27</t>
        </is>
      </c>
      <c r="C1" s="5" t="inlineStr">
        <is>
          <t>fine_27_28</t>
        </is>
      </c>
      <c r="D1" s="5" t="inlineStr">
        <is>
          <t>fine_28_29</t>
        </is>
      </c>
      <c r="E1" s="5" t="inlineStr">
        <is>
          <t>fine_29_30</t>
        </is>
      </c>
      <c r="F1" s="5" t="inlineStr">
        <is>
          <t>notes</t>
        </is>
      </c>
    </row>
    <row r="2">
      <c r="A2" t="n">
        <v>1</v>
      </c>
      <c r="B2" s="5" t="n">
        <v>1638000</v>
      </c>
      <c r="C2" s="5" t="n"/>
      <c r="D2" s="5" t="n"/>
      <c r="E2" s="5" t="n"/>
      <c r="F2" s="5" t="n"/>
    </row>
    <row r="3">
      <c r="A3" t="n">
        <v>2</v>
      </c>
      <c r="B3" s="5" t="n"/>
      <c r="C3" s="5" t="n"/>
      <c r="D3" s="5" t="n"/>
      <c r="E3" s="5" t="n"/>
      <c r="F3" s="5" t="n"/>
    </row>
    <row r="4">
      <c r="A4" t="n">
        <v>3</v>
      </c>
      <c r="B4" s="5" t="n">
        <v>2000000</v>
      </c>
      <c r="C4" s="5" t="n"/>
      <c r="D4" s="5" t="n"/>
      <c r="E4" s="5" t="n"/>
      <c r="F4" s="5" t="n"/>
    </row>
    <row r="5">
      <c r="A5" t="n">
        <v>4</v>
      </c>
      <c r="D5" s="5" t="n"/>
      <c r="E5" s="5" t="n"/>
      <c r="F5" s="5" t="n"/>
    </row>
    <row r="6">
      <c r="A6" t="n">
        <v>5</v>
      </c>
      <c r="B6" s="5">
        <f>1050000+150000</f>
        <v/>
      </c>
      <c r="C6" s="5" t="n">
        <v>450000</v>
      </c>
      <c r="D6" s="5" t="n"/>
      <c r="E6" s="5" t="n"/>
      <c r="F6" s="5" t="n"/>
    </row>
    <row r="7">
      <c r="A7" t="n">
        <v>6</v>
      </c>
      <c r="B7" s="5" t="n"/>
      <c r="C7" s="5" t="n"/>
      <c r="D7" s="5" t="n"/>
      <c r="E7" s="5" t="n"/>
      <c r="F7" s="5" t="n"/>
    </row>
    <row r="8">
      <c r="A8" t="n">
        <v>7</v>
      </c>
      <c r="B8" s="5" t="n">
        <v>750000</v>
      </c>
      <c r="C8" s="5" t="n"/>
      <c r="D8" s="5" t="n"/>
      <c r="E8" s="5" t="n"/>
      <c r="F8" s="5" t="n"/>
    </row>
    <row r="9">
      <c r="A9" t="n">
        <v>8</v>
      </c>
      <c r="B9" s="5" t="n"/>
      <c r="C9" s="5" t="n"/>
      <c r="D9" s="5" t="n"/>
      <c r="E9" s="5" t="n"/>
      <c r="F9" s="5" t="n"/>
    </row>
    <row r="10">
      <c r="A10" t="n">
        <v>9</v>
      </c>
      <c r="B10" s="5" t="n"/>
      <c r="C10" s="5" t="n"/>
      <c r="D10" s="5" t="n"/>
      <c r="E10" s="5" t="n"/>
      <c r="F10" s="5" t="n"/>
    </row>
    <row r="11">
      <c r="A11" t="n">
        <v>10</v>
      </c>
      <c r="B11" s="5" t="n"/>
      <c r="C11" s="5" t="n"/>
      <c r="D11" s="5" t="n"/>
      <c r="E11" s="5" t="n"/>
      <c r="F11" s="5" t="n"/>
    </row>
    <row r="12">
      <c r="A12" t="n">
        <v>11</v>
      </c>
      <c r="B12" s="5" t="n"/>
      <c r="C12" s="5" t="n"/>
      <c r="D12" s="5" t="n"/>
      <c r="E12" s="5" t="n"/>
      <c r="F12" s="5" t="n"/>
    </row>
    <row r="13">
      <c r="A13" t="n">
        <v>12</v>
      </c>
      <c r="B13" s="5" t="n"/>
      <c r="C13" s="5" t="n"/>
      <c r="D13" s="5" t="n"/>
      <c r="E13" s="5" t="n"/>
      <c r="F13" s="5" t="n"/>
    </row>
    <row r="14">
      <c r="A14" t="n">
        <v>13</v>
      </c>
      <c r="B14" s="5" t="n">
        <v>150000</v>
      </c>
      <c r="C14" s="5" t="n"/>
      <c r="D14" s="5" t="n"/>
      <c r="E14" s="5" t="n"/>
      <c r="F14" s="5" t="n"/>
    </row>
    <row r="15">
      <c r="A15" t="n">
        <v>14</v>
      </c>
      <c r="B15" s="5" t="n">
        <v>600000</v>
      </c>
      <c r="C15" s="5" t="n">
        <v>600000</v>
      </c>
      <c r="D15" s="5" t="n"/>
      <c r="E15" s="5" t="n"/>
      <c r="F15" s="5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G18" sqref="G18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</row>
    <row r="2" ht="14.25" customHeight="1">
      <c r="A2" t="inlineStr">
        <is>
          <t>J1R1S2526</t>
        </is>
      </c>
      <c r="B2" t="n">
        <v>14</v>
      </c>
      <c r="C2">
        <f>VLOOKUP(B2,teams!$A$1:$B$15,2)</f>
        <v/>
      </c>
      <c r="D2" t="n">
        <v>4</v>
      </c>
      <c r="E2" t="n">
        <v>3</v>
      </c>
      <c r="F2" t="n">
        <v>5</v>
      </c>
      <c r="G2">
        <f>VLOOKUP(F2,teams!$A$1:$B$15,2)</f>
        <v/>
      </c>
    </row>
    <row r="3">
      <c r="A3" t="inlineStr">
        <is>
          <t>J2R1S2526</t>
        </is>
      </c>
      <c r="B3" t="n">
        <v>6</v>
      </c>
      <c r="C3">
        <f>VLOOKUP(B3,teams!$A$1:$B$15,2)</f>
        <v/>
      </c>
      <c r="D3" t="n">
        <v>4</v>
      </c>
      <c r="E3" t="n">
        <v>2</v>
      </c>
      <c r="F3" t="n">
        <v>1</v>
      </c>
      <c r="G3">
        <f>VLOOKUP(F3,teams!$A$1:$B$15,2)</f>
        <v/>
      </c>
    </row>
    <row r="4">
      <c r="A4" t="inlineStr">
        <is>
          <t>J3R1S2526</t>
        </is>
      </c>
      <c r="B4" t="n">
        <v>8</v>
      </c>
      <c r="C4">
        <f>VLOOKUP(B4,teams!$A$1:$B$15,2)</f>
        <v/>
      </c>
      <c r="D4" t="n">
        <v>4</v>
      </c>
      <c r="E4" t="n">
        <v>1</v>
      </c>
      <c r="F4" t="n">
        <v>4</v>
      </c>
      <c r="G4">
        <f>VLOOKUP(F4,teams!$A$1:$B$15,2)</f>
        <v/>
      </c>
    </row>
    <row r="5">
      <c r="A5" t="inlineStr">
        <is>
          <t>J4R1S2526</t>
        </is>
      </c>
      <c r="B5" t="n">
        <v>9</v>
      </c>
      <c r="C5">
        <f>VLOOKUP(B5,teams!$A$1:$B$15,2)</f>
        <v/>
      </c>
      <c r="D5" t="n">
        <v>1</v>
      </c>
      <c r="E5" t="n">
        <v>5</v>
      </c>
      <c r="F5" t="n">
        <v>2</v>
      </c>
      <c r="G5">
        <f>VLOOKUP(F5,teams!$A$1:$B$15,2)</f>
        <v/>
      </c>
    </row>
    <row r="6">
      <c r="A6" t="inlineStr">
        <is>
          <t>J5R1S2526</t>
        </is>
      </c>
      <c r="B6" t="n">
        <v>3</v>
      </c>
      <c r="C6">
        <f>VLOOKUP(B6,teams!$A$1:$B$15,2)</f>
        <v/>
      </c>
      <c r="D6" t="n">
        <v>6</v>
      </c>
      <c r="E6" t="n">
        <v>1</v>
      </c>
      <c r="F6" t="n">
        <v>12</v>
      </c>
      <c r="G6">
        <f>VLOOKUP(F6,teams!$A$1:$B$15,2)</f>
        <v/>
      </c>
    </row>
    <row r="7">
      <c r="A7" t="inlineStr">
        <is>
          <t>J6R1S2526</t>
        </is>
      </c>
      <c r="B7" t="n">
        <v>13</v>
      </c>
      <c r="C7">
        <f>VLOOKUP(B7,teams!$A$1:$B$15,2)</f>
        <v/>
      </c>
      <c r="D7" t="n">
        <v>4</v>
      </c>
      <c r="E7" t="n">
        <v>3</v>
      </c>
      <c r="F7" t="n">
        <v>11</v>
      </c>
      <c r="G7">
        <f>VLOOKUP(F7,teams!$A$1:$B$15,2)</f>
        <v/>
      </c>
    </row>
    <row r="8">
      <c r="A8" t="inlineStr">
        <is>
          <t>J7R1S2526</t>
        </is>
      </c>
      <c r="B8" t="n">
        <v>7</v>
      </c>
      <c r="C8">
        <f>VLOOKUP(B8,teams!$A$1:$B$15,2)</f>
        <v/>
      </c>
      <c r="D8" t="n">
        <v>4</v>
      </c>
      <c r="E8" t="n">
        <v>3</v>
      </c>
      <c r="F8" t="n">
        <v>10</v>
      </c>
      <c r="G8">
        <f>VLOOKUP(F8,teams!$A$1:$B$15,2)</f>
        <v/>
      </c>
    </row>
    <row r="9">
      <c r="A9" t="inlineStr">
        <is>
          <t>J1R2S2526</t>
        </is>
      </c>
      <c r="B9" t="n">
        <v>14</v>
      </c>
      <c r="C9">
        <f>VLOOKUP(B9,teams!$A$1:$B$15,2)</f>
        <v/>
      </c>
      <c r="D9" t="n">
        <v>1</v>
      </c>
      <c r="E9" t="n">
        <v>5</v>
      </c>
      <c r="F9" t="n">
        <v>6</v>
      </c>
      <c r="G9">
        <f>VLOOKUP(F9,teams!$A$1:$B$15,2)</f>
        <v/>
      </c>
    </row>
    <row r="10">
      <c r="A10" t="inlineStr">
        <is>
          <t>J2R2S2526</t>
        </is>
      </c>
      <c r="B10" t="n">
        <v>5</v>
      </c>
      <c r="C10">
        <f>VLOOKUP(B10,teams!$A$1:$B$15,2)</f>
        <v/>
      </c>
      <c r="D10" t="n">
        <v>1</v>
      </c>
      <c r="E10" t="n">
        <v>6</v>
      </c>
      <c r="F10" t="n">
        <v>10</v>
      </c>
      <c r="G10">
        <f>VLOOKUP(F10,teams!$A$1:$B$15,2)</f>
        <v/>
      </c>
    </row>
    <row r="11">
      <c r="A11" t="inlineStr">
        <is>
          <t>J3R2S2526</t>
        </is>
      </c>
      <c r="B11" t="n">
        <v>8</v>
      </c>
      <c r="C11">
        <f>VLOOKUP(B11,teams!$A$1:$B$15,2)</f>
        <v/>
      </c>
      <c r="D11" t="n">
        <v>2</v>
      </c>
      <c r="E11" t="n">
        <v>3</v>
      </c>
      <c r="F11" t="n">
        <v>1</v>
      </c>
      <c r="G11">
        <f>VLOOKUP(F11,teams!$A$1:$B$15,2)</f>
        <v/>
      </c>
    </row>
    <row r="12">
      <c r="A12" t="inlineStr">
        <is>
          <t>J4R2S2526</t>
        </is>
      </c>
      <c r="B12" t="n">
        <v>9</v>
      </c>
      <c r="C12">
        <f>VLOOKUP(B12,teams!$A$1:$B$15,2)</f>
        <v/>
      </c>
      <c r="D12" t="n">
        <v>3</v>
      </c>
      <c r="E12" t="n">
        <v>4</v>
      </c>
      <c r="F12" t="n">
        <v>4</v>
      </c>
      <c r="G12">
        <f>VLOOKUP(F12,teams!$A$1:$B$15,2)</f>
        <v/>
      </c>
    </row>
    <row r="13">
      <c r="A13" t="inlineStr">
        <is>
          <t>J5R2S2526</t>
        </is>
      </c>
      <c r="B13" t="n">
        <v>3</v>
      </c>
      <c r="C13">
        <f>VLOOKUP(B13,teams!$A$1:$B$15,2)</f>
        <v/>
      </c>
      <c r="D13" t="n">
        <v>4</v>
      </c>
      <c r="E13" t="n">
        <v>3</v>
      </c>
      <c r="F13" t="n">
        <v>2</v>
      </c>
      <c r="G13">
        <f>VLOOKUP(F13,teams!$A$1:$B$15,2)</f>
        <v/>
      </c>
    </row>
    <row r="14">
      <c r="A14" t="inlineStr">
        <is>
          <t>J6R2S2526</t>
        </is>
      </c>
      <c r="B14" t="n">
        <v>13</v>
      </c>
      <c r="C14">
        <f>VLOOKUP(B14,teams!$A$1:$B$15,2)</f>
        <v/>
      </c>
      <c r="D14" t="n">
        <v>6</v>
      </c>
      <c r="E14" t="n">
        <v>1</v>
      </c>
      <c r="F14" t="n">
        <v>12</v>
      </c>
      <c r="G14">
        <f>VLOOKUP(F14,teams!$A$1:$B$15,2)</f>
        <v/>
      </c>
    </row>
    <row r="15">
      <c r="A15" t="inlineStr">
        <is>
          <t>J7R2S2526</t>
        </is>
      </c>
      <c r="B15" t="n">
        <v>7</v>
      </c>
      <c r="C15">
        <f>VLOOKUP(B15,teams!$A$1:$B$15,2)</f>
        <v/>
      </c>
      <c r="D15" t="n">
        <v>4</v>
      </c>
      <c r="E15" t="n">
        <v>3</v>
      </c>
      <c r="F15" t="n">
        <v>11</v>
      </c>
      <c r="G15">
        <f>VLOOKUP(F15,teams!$A$1:$B$15,2)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</row>
    <row r="2">
      <c r="A2" t="inlineStr">
        <is>
          <t>2627T01</t>
        </is>
      </c>
      <c r="B2" t="inlineStr">
        <is>
          <t>Pick Swap</t>
        </is>
      </c>
      <c r="C2" s="6" t="n">
        <v>46166</v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</row>
    <row r="3">
      <c r="A3" t="inlineStr">
        <is>
          <t>2627T02</t>
        </is>
      </c>
      <c r="B3" t="inlineStr">
        <is>
          <t>Pick Swap</t>
        </is>
      </c>
      <c r="C3" s="6" t="n">
        <v>46166</v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</row>
    <row r="4">
      <c r="A4" t="inlineStr">
        <is>
          <t>2627T03</t>
        </is>
      </c>
      <c r="B4" t="inlineStr">
        <is>
          <t>Trade</t>
        </is>
      </c>
      <c r="C4" s="6" t="n">
        <v>46166</v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</row>
    <row r="5">
      <c r="A5" t="inlineStr">
        <is>
          <t>2627T04</t>
        </is>
      </c>
      <c r="B5" t="inlineStr">
        <is>
          <t>Trade</t>
        </is>
      </c>
      <c r="C5" s="6" t="n">
        <v>46166</v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</row>
    <row r="6">
      <c r="A6" t="inlineStr">
        <is>
          <t>2627T05</t>
        </is>
      </c>
      <c r="B6" t="inlineStr">
        <is>
          <t>Trade</t>
        </is>
      </c>
      <c r="C6" s="6" t="n">
        <v>46172</v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</row>
    <row r="7">
      <c r="A7" t="inlineStr">
        <is>
          <t>2627T06</t>
        </is>
      </c>
      <c r="B7" t="inlineStr">
        <is>
          <t>Trade</t>
        </is>
      </c>
      <c r="C7" s="6" t="n">
        <v>46172</v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</row>
    <row r="8">
      <c r="A8" t="inlineStr">
        <is>
          <t>2627T07</t>
        </is>
      </c>
      <c r="B8" t="inlineStr">
        <is>
          <t>Trade</t>
        </is>
      </c>
      <c r="C8" s="6" t="n">
        <v>46173</v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</row>
    <row r="9">
      <c r="A9" t="inlineStr">
        <is>
          <t>2627T08</t>
        </is>
      </c>
      <c r="B9" t="inlineStr">
        <is>
          <t>Trade</t>
        </is>
      </c>
      <c r="C9" s="6" t="n">
        <v>46173</v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</row>
    <row r="10">
      <c r="A10" t="inlineStr">
        <is>
          <t>2627T09</t>
        </is>
      </c>
      <c r="B10" t="inlineStr">
        <is>
          <t>Trade</t>
        </is>
      </c>
      <c r="C10" s="6" t="n">
        <v>46173</v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</row>
    <row r="11">
      <c r="A11" t="inlineStr">
        <is>
          <t>2627T10</t>
        </is>
      </c>
      <c r="B11" t="inlineStr">
        <is>
          <t>Trade</t>
        </is>
      </c>
      <c r="C11" s="6" t="n">
        <v>46173</v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</row>
    <row r="12">
      <c r="A12" t="inlineStr">
        <is>
          <t>2627T11</t>
        </is>
      </c>
      <c r="B12" t="inlineStr">
        <is>
          <t>Trade</t>
        </is>
      </c>
      <c r="C12" s="6" t="n">
        <v>46174</v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</row>
    <row r="13">
      <c r="A13" t="inlineStr">
        <is>
          <t>2627T12</t>
        </is>
      </c>
      <c r="B13" t="inlineStr">
        <is>
          <t>Trade</t>
        </is>
      </c>
      <c r="C13" s="6" t="n">
        <v>46174</v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</row>
    <row r="14">
      <c r="A14" t="inlineStr">
        <is>
          <t>2627T13</t>
        </is>
      </c>
      <c r="B14" t="inlineStr">
        <is>
          <t>Trade</t>
        </is>
      </c>
      <c r="C14" s="6" t="n">
        <v>46174</v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</row>
    <row r="15">
      <c r="A15" t="inlineStr">
        <is>
          <t>2627T14</t>
        </is>
      </c>
      <c r="B15" t="inlineStr">
        <is>
          <t>Trade</t>
        </is>
      </c>
      <c r="C15" s="6" t="n">
        <v>46174</v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</row>
    <row r="16">
      <c r="A16" t="inlineStr">
        <is>
          <t>2627T15</t>
        </is>
      </c>
      <c r="B16" t="inlineStr">
        <is>
          <t>Trade</t>
        </is>
      </c>
      <c r="C16" s="6" t="n">
        <v>46175</v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</row>
    <row r="17">
      <c r="A17" t="inlineStr">
        <is>
          <t>2627T16</t>
        </is>
      </c>
      <c r="B17" t="inlineStr">
        <is>
          <t>Trade</t>
        </is>
      </c>
      <c r="C17" s="6" t="n">
        <v>46175</v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</row>
    <row r="18">
      <c r="A18" t="inlineStr">
        <is>
          <t>2627T17</t>
        </is>
      </c>
      <c r="B18" t="inlineStr">
        <is>
          <t>Trade</t>
        </is>
      </c>
      <c r="C18" s="6" t="n">
        <v>46175</v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</row>
    <row r="19">
      <c r="A19" t="inlineStr">
        <is>
          <t>2627T18</t>
        </is>
      </c>
      <c r="B19" t="inlineStr">
        <is>
          <t>Trade</t>
        </is>
      </c>
      <c r="C19" s="6" t="n">
        <v>46175</v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</row>
    <row r="20">
      <c r="A20" t="inlineStr">
        <is>
          <t>2627T19</t>
        </is>
      </c>
      <c r="B20" t="inlineStr">
        <is>
          <t>Trade</t>
        </is>
      </c>
      <c r="C20" s="6" t="n">
        <v>46178</v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</row>
    <row r="21">
      <c r="A21" t="inlineStr">
        <is>
          <t>2627T20</t>
        </is>
      </c>
      <c r="B21" t="inlineStr">
        <is>
          <t>Trade</t>
        </is>
      </c>
      <c r="C21" s="6" t="n">
        <v>46178</v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</row>
    <row r="22">
      <c r="A22" t="inlineStr">
        <is>
          <t>2627T21</t>
        </is>
      </c>
      <c r="B22" t="inlineStr">
        <is>
          <t>Trade</t>
        </is>
      </c>
      <c r="C22" s="6" t="n">
        <v>46179</v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</row>
    <row r="23">
      <c r="A23" t="inlineStr">
        <is>
          <t>2627T22</t>
        </is>
      </c>
      <c r="B23" t="inlineStr">
        <is>
          <t>Trade</t>
        </is>
      </c>
      <c r="C23" s="6" t="n">
        <v>46179</v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</row>
    <row r="24">
      <c r="A24" t="inlineStr">
        <is>
          <t>2627T23</t>
        </is>
      </c>
      <c r="B24" t="inlineStr">
        <is>
          <t>DEV_DEMOTION</t>
        </is>
      </c>
      <c r="C24" s="6" t="n">
        <v>46175</v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</row>
    <row r="25">
      <c r="A25" t="inlineStr">
        <is>
          <t>2627T24</t>
        </is>
      </c>
      <c r="B25" t="inlineStr">
        <is>
          <t>DEV_DEMOTION</t>
        </is>
      </c>
      <c r="C25" s="6" t="n">
        <v>46178</v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</row>
    <row r="26">
      <c r="A26" t="inlineStr">
        <is>
          <t>2627T25</t>
        </is>
      </c>
      <c r="B26" t="inlineStr">
        <is>
          <t>DEV_DEMOTION</t>
        </is>
      </c>
      <c r="C26" s="6" t="n">
        <v>46178</v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</row>
    <row r="27">
      <c r="A27" t="inlineStr">
        <is>
          <t>2627T26</t>
        </is>
      </c>
      <c r="B27" t="inlineStr">
        <is>
          <t>DEV_DEMOTION</t>
        </is>
      </c>
      <c r="C27" s="6" t="n">
        <v>46178</v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</row>
    <row r="28">
      <c r="A28" t="inlineStr">
        <is>
          <t>2627T27</t>
        </is>
      </c>
      <c r="B28" t="inlineStr">
        <is>
          <t>DEV_PROMOTION</t>
        </is>
      </c>
      <c r="C28" s="6" t="n">
        <v>46188</v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</row>
    <row r="29">
      <c r="A29" t="inlineStr">
        <is>
          <t>2627T28</t>
        </is>
      </c>
      <c r="B29" t="inlineStr">
        <is>
          <t>DEV_DEMOTION</t>
        </is>
      </c>
      <c r="C29" s="6" t="n">
        <v>46195</v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</row>
    <row r="30">
      <c r="A30" t="inlineStr">
        <is>
          <t>2627T29</t>
        </is>
      </c>
      <c r="B30" t="inlineStr">
        <is>
          <t>CUT</t>
        </is>
      </c>
      <c r="C30" s="6" t="n">
        <v>46181</v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</row>
    <row r="31">
      <c r="A31" t="inlineStr">
        <is>
          <t>2627T30</t>
        </is>
      </c>
      <c r="B31" t="inlineStr">
        <is>
          <t>CUT</t>
        </is>
      </c>
      <c r="C31" s="6" t="n">
        <v>46199</v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inlineStr">
        <is>
          <t>2627T01</t>
        </is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inlineStr">
        <is>
          <t>2627T01</t>
        </is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inlineStr">
        <is>
          <t>2627T02</t>
        </is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inlineStr">
        <is>
          <t>2627T04</t>
        </is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inlineStr">
        <is>
          <t>2627T03</t>
        </is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inlineStr">
        <is>
          <t>2627T06</t>
        </is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inlineStr">
        <is>
          <t>2627T05</t>
        </is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inlineStr">
        <is>
          <t>2627T08</t>
        </is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inlineStr">
        <is>
          <t>2627T07</t>
        </is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inlineStr">
        <is>
          <t>2627T07</t>
        </is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inlineStr">
        <is>
          <t>2627T07</t>
        </is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inlineStr">
        <is>
          <t>2627T09</t>
        </is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inlineStr">
        <is>
          <t>2627T10</t>
        </is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inlineStr">
        <is>
          <t>2627T09</t>
        </is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inlineStr">
        <is>
          <t>2627T10</t>
        </is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inlineStr">
        <is>
          <t>2627T11</t>
        </is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inlineStr">
        <is>
          <t>2627T11</t>
        </is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inlineStr">
        <is>
          <t>2627T12</t>
        </is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inlineStr">
        <is>
          <t>2627T11</t>
        </is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inlineStr">
        <is>
          <t>2627T11</t>
        </is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inlineStr">
        <is>
          <t>2627T13</t>
        </is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inlineStr">
        <is>
          <t>2627T14</t>
        </is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inlineStr">
        <is>
          <t>2627T16</t>
        </is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inlineStr">
        <is>
          <t>2627T15</t>
        </is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inlineStr">
        <is>
          <t>2627T15</t>
        </is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inlineStr">
        <is>
          <t>2627T15</t>
        </is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inlineStr">
        <is>
          <t>2627T15</t>
        </is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inlineStr">
        <is>
          <t>2627T17</t>
        </is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inlineStr">
        <is>
          <t>2627T17</t>
        </is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inlineStr">
        <is>
          <t>2627T18</t>
        </is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inlineStr">
        <is>
          <t>2627T17</t>
        </is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inlineStr">
        <is>
          <t>2627T17</t>
        </is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inlineStr">
        <is>
          <t>2627T18</t>
        </is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inlineStr">
        <is>
          <t>2627T20</t>
        </is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inlineStr">
        <is>
          <t>2627T19</t>
        </is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inlineStr">
        <is>
          <t>2627T21</t>
        </is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inlineStr">
        <is>
          <t>2627T21</t>
        </is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inlineStr">
        <is>
          <t>2627T22</t>
        </is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inlineStr">
        <is>
          <t>2627T22</t>
        </is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inlineStr">
        <is>
          <t>2627T22</t>
        </is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inlineStr">
        <is>
          <t>2627T23</t>
        </is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inlineStr">
        <is>
          <t>2627T24</t>
        </is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inlineStr">
        <is>
          <t>2627T25</t>
        </is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inlineStr">
        <is>
          <t>2627T26</t>
        </is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inlineStr">
        <is>
          <t>2627T26</t>
        </is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inlineStr">
        <is>
          <t>2627T27</t>
        </is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inlineStr">
        <is>
          <t>2627T28</t>
        </is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inlineStr">
        <is>
          <t>2627T28</t>
        </is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inlineStr">
        <is>
          <t>2627T28</t>
        </is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inlineStr">
        <is>
          <t>2627T29</t>
        </is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inlineStr">
        <is>
          <t>2627T30</t>
        </is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158</v>
      </c>
      <c r="C15" t="n">
        <v>14</v>
      </c>
      <c r="D15" t="n">
        <v>15000000</v>
      </c>
      <c r="L15">
        <f>VLOOKUP(B15,players!A:B,2)</f>
        <v/>
      </c>
    </row>
    <row r="16">
      <c r="A16" t="n">
        <v>7</v>
      </c>
      <c r="B16" t="n">
        <v>107</v>
      </c>
      <c r="C16" t="n">
        <v>16</v>
      </c>
      <c r="L16">
        <f>VLOOKUP(B17,players!A:B,2)</f>
        <v/>
      </c>
    </row>
    <row r="17">
      <c r="A17" t="n">
        <v>1</v>
      </c>
      <c r="B17" t="n">
        <v>324</v>
      </c>
      <c r="C17" t="n">
        <v>1</v>
      </c>
      <c r="D17" t="n">
        <v>3100000</v>
      </c>
      <c r="F17" t="n">
        <v>3100000</v>
      </c>
      <c r="H17" t="n">
        <v>3100000</v>
      </c>
      <c r="L17">
        <f>VLOOKUP(B18,players!A:B,2)</f>
        <v/>
      </c>
    </row>
    <row r="18">
      <c r="A18" t="n">
        <v>1</v>
      </c>
      <c r="B18" t="n">
        <v>314</v>
      </c>
      <c r="C18" t="n">
        <v>2</v>
      </c>
      <c r="L18">
        <f>VLOOKUP(B19,players!A:B,2)</f>
        <v/>
      </c>
    </row>
    <row r="19">
      <c r="A19" t="n">
        <v>1</v>
      </c>
      <c r="B19" t="n">
        <v>172</v>
      </c>
      <c r="C19" t="n">
        <v>3</v>
      </c>
      <c r="D19" t="n">
        <v>7500000</v>
      </c>
      <c r="F19" t="n">
        <v>8500000</v>
      </c>
      <c r="G19" t="inlineStr">
        <is>
          <t>Sim</t>
        </is>
      </c>
      <c r="H19" t="n">
        <v>9000000</v>
      </c>
      <c r="I19" t="inlineStr">
        <is>
          <t>Sim</t>
        </is>
      </c>
      <c r="L19">
        <f>VLOOKUP(B20,players!A:B,2)</f>
        <v/>
      </c>
    </row>
    <row r="20">
      <c r="A20" t="n">
        <v>1</v>
      </c>
      <c r="B20" t="n">
        <v>146</v>
      </c>
      <c r="C20" t="n">
        <v>4</v>
      </c>
      <c r="L20">
        <f>VLOOKUP(B21,players!A:B,2)</f>
        <v/>
      </c>
    </row>
    <row r="21">
      <c r="A21" t="n">
        <v>1</v>
      </c>
      <c r="B21" t="n">
        <v>180</v>
      </c>
      <c r="C21" t="n">
        <v>5</v>
      </c>
      <c r="L21">
        <f>VLOOKUP(B22,players!A:B,2)</f>
        <v/>
      </c>
    </row>
    <row r="22">
      <c r="A22" t="n">
        <v>1</v>
      </c>
      <c r="B22" t="n">
        <v>355</v>
      </c>
      <c r="C22" t="n">
        <v>6</v>
      </c>
      <c r="D22" t="n">
        <v>1000000</v>
      </c>
      <c r="F22" t="n">
        <v>1000000</v>
      </c>
      <c r="G22" t="inlineStr">
        <is>
          <t>Sim</t>
        </is>
      </c>
      <c r="H22" t="n">
        <v>1000000</v>
      </c>
      <c r="I22" t="inlineStr">
        <is>
          <t>Sim</t>
        </is>
      </c>
      <c r="L22">
        <f>VLOOKUP(B23,players!A:B,2)</f>
        <v/>
      </c>
    </row>
    <row r="23">
      <c r="A23" t="n">
        <v>1</v>
      </c>
      <c r="B23" t="n">
        <v>39</v>
      </c>
      <c r="C23" t="n">
        <v>7</v>
      </c>
      <c r="L23">
        <f>VLOOKUP(B24,players!A:B,2)</f>
        <v/>
      </c>
    </row>
    <row r="24">
      <c r="A24" t="n">
        <v>1</v>
      </c>
      <c r="B24" t="n">
        <v>78</v>
      </c>
      <c r="C24" t="n">
        <v>8</v>
      </c>
      <c r="D24" t="n">
        <v>4200000</v>
      </c>
      <c r="F24" t="n">
        <v>4500000</v>
      </c>
      <c r="G24" t="inlineStr">
        <is>
          <t>Sim</t>
        </is>
      </c>
      <c r="L24">
        <f>VLOOKUP(B25,players!A:B,2)</f>
        <v/>
      </c>
    </row>
    <row r="25">
      <c r="A25" t="n">
        <v>1</v>
      </c>
      <c r="B25" t="n">
        <v>128</v>
      </c>
      <c r="C25" t="n">
        <v>9</v>
      </c>
      <c r="D25" t="n">
        <v>40000000</v>
      </c>
      <c r="F25" t="n">
        <v>40000000</v>
      </c>
      <c r="H25" t="n">
        <v>40000000</v>
      </c>
      <c r="L25">
        <f>VLOOKUP(B26,players!A:B,2)</f>
        <v/>
      </c>
    </row>
    <row r="26">
      <c r="A26" t="n">
        <v>1</v>
      </c>
      <c r="B26" t="n">
        <v>176</v>
      </c>
      <c r="C26" t="n">
        <v>10</v>
      </c>
      <c r="D26" t="n">
        <v>30500000</v>
      </c>
      <c r="F26" t="n">
        <v>30500000</v>
      </c>
      <c r="H26" t="n">
        <v>30500000</v>
      </c>
      <c r="L26">
        <f>VLOOKUP(B27,players!A:B,2)</f>
        <v/>
      </c>
    </row>
    <row r="27">
      <c r="A27" t="n">
        <v>1</v>
      </c>
      <c r="B27" t="n">
        <v>181</v>
      </c>
      <c r="C27" t="n">
        <v>11</v>
      </c>
      <c r="D27" t="n">
        <v>1000000</v>
      </c>
      <c r="L27">
        <f>VLOOKUP(B28,players!A:B,2)</f>
        <v/>
      </c>
    </row>
    <row r="28">
      <c r="A28" t="n">
        <v>1</v>
      </c>
      <c r="B28" t="n">
        <v>205</v>
      </c>
      <c r="C28" t="n">
        <v>12</v>
      </c>
      <c r="D28" t="n">
        <v>7000000</v>
      </c>
      <c r="L28">
        <f>VLOOKUP(B29,players!A:B,2)</f>
        <v/>
      </c>
    </row>
    <row r="29">
      <c r="A29" t="n">
        <v>1</v>
      </c>
      <c r="B29" t="n">
        <v>187</v>
      </c>
      <c r="C29" t="n">
        <v>13</v>
      </c>
      <c r="L29">
        <f>VLOOKUP(B30,players!A:B,2)</f>
        <v/>
      </c>
    </row>
    <row r="30">
      <c r="A30" t="n">
        <v>1</v>
      </c>
      <c r="B30" t="n">
        <v>432</v>
      </c>
      <c r="C30" t="n">
        <v>14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VLOOKUP(B31,players!A:B,2)</f>
        <v/>
      </c>
    </row>
    <row r="31">
      <c r="A31" t="n">
        <v>6</v>
      </c>
      <c r="B31" t="n">
        <v>419</v>
      </c>
      <c r="C31" t="n">
        <v>14</v>
      </c>
      <c r="D31" t="n">
        <v>7000000</v>
      </c>
      <c r="F31" t="n">
        <v>7500000</v>
      </c>
      <c r="H31" t="n">
        <v>8250000</v>
      </c>
      <c r="I31" t="inlineStr">
        <is>
          <t>Sim</t>
        </is>
      </c>
      <c r="J31" t="n">
        <v>9000000</v>
      </c>
      <c r="K31" t="inlineStr">
        <is>
          <t>Sim</t>
        </is>
      </c>
      <c r="L31">
        <f>VLOOKUP(B32,players!A:B,2)</f>
        <v/>
      </c>
    </row>
    <row r="32">
      <c r="A32" t="n">
        <v>1</v>
      </c>
      <c r="B32" t="n">
        <v>424</v>
      </c>
      <c r="C32" t="n">
        <v>15</v>
      </c>
      <c r="D32" t="n">
        <v>3800000</v>
      </c>
      <c r="F32" t="n">
        <v>4000000</v>
      </c>
      <c r="H32" t="n">
        <v>4200000</v>
      </c>
      <c r="I32" t="inlineStr">
        <is>
          <t>Sim</t>
        </is>
      </c>
      <c r="J32" t="n">
        <v>4500000</v>
      </c>
      <c r="K32" t="inlineStr">
        <is>
          <t>Sim</t>
        </is>
      </c>
      <c r="L32">
        <f>VLOOKUP(B33,players!A:B,2)</f>
        <v/>
      </c>
    </row>
    <row r="33">
      <c r="A33" t="n">
        <v>1</v>
      </c>
      <c r="B33" t="n">
        <v>425</v>
      </c>
      <c r="C33" t="n">
        <v>16</v>
      </c>
      <c r="D33" t="n">
        <v>3600000</v>
      </c>
      <c r="F33" t="n">
        <v>3800000</v>
      </c>
      <c r="H33" t="n">
        <v>4000000</v>
      </c>
      <c r="I33" t="inlineStr">
        <is>
          <t>Sim</t>
        </is>
      </c>
      <c r="J33" t="n">
        <v>4300000</v>
      </c>
      <c r="K33" t="inlineStr">
        <is>
          <t>Sim</t>
        </is>
      </c>
      <c r="L33">
        <f>VLOOKUP(B34,players!A:B,2)</f>
        <v/>
      </c>
    </row>
    <row r="34">
      <c r="A34" t="n">
        <v>2</v>
      </c>
      <c r="B34" t="n">
        <v>320</v>
      </c>
      <c r="C34" t="n">
        <v>1</v>
      </c>
      <c r="D34" t="n">
        <v>1000000</v>
      </c>
      <c r="F34" t="n">
        <v>1000000</v>
      </c>
      <c r="G34" t="inlineStr">
        <is>
          <t>Sim</t>
        </is>
      </c>
      <c r="L34">
        <f>VLOOKUP(B35,players!A:B,2)</f>
        <v/>
      </c>
    </row>
    <row r="35">
      <c r="A35" t="n">
        <v>2</v>
      </c>
      <c r="B35" t="n">
        <v>21</v>
      </c>
      <c r="C35" t="n">
        <v>2</v>
      </c>
      <c r="D35" t="n">
        <v>23500000</v>
      </c>
      <c r="F35" t="n">
        <v>23500000</v>
      </c>
      <c r="H35" t="n">
        <v>23500000</v>
      </c>
      <c r="L35">
        <f>VLOOKUP(B36,players!A:B,2)</f>
        <v/>
      </c>
    </row>
    <row r="36">
      <c r="A36" t="n">
        <v>2</v>
      </c>
      <c r="B36" t="n">
        <v>96</v>
      </c>
      <c r="C36" t="n">
        <v>3</v>
      </c>
      <c r="D36" t="n">
        <v>15000000</v>
      </c>
      <c r="L36">
        <f>VLOOKUP(B37,players!A:B,2)</f>
        <v/>
      </c>
    </row>
    <row r="37">
      <c r="A37" t="n">
        <v>2</v>
      </c>
      <c r="B37" t="n">
        <v>136</v>
      </c>
      <c r="C37" t="n">
        <v>4</v>
      </c>
      <c r="D37" t="n">
        <v>9000000</v>
      </c>
      <c r="L37">
        <f>VLOOKUP(B38,players!A:B,2)</f>
        <v/>
      </c>
    </row>
    <row r="38">
      <c r="A38" t="n">
        <v>2</v>
      </c>
      <c r="B38" t="n">
        <v>219</v>
      </c>
      <c r="C38" t="n">
        <v>5</v>
      </c>
      <c r="D38" t="n">
        <v>7000000</v>
      </c>
      <c r="F38" t="n">
        <v>7000000</v>
      </c>
      <c r="H38" t="n">
        <v>7000000</v>
      </c>
      <c r="L38">
        <f>VLOOKUP(B39,players!A:B,2)</f>
        <v/>
      </c>
    </row>
    <row r="39">
      <c r="A39" t="n">
        <v>2</v>
      </c>
      <c r="B39" t="n">
        <v>144</v>
      </c>
      <c r="C39" t="n">
        <v>6</v>
      </c>
      <c r="D39" t="n">
        <v>6000000</v>
      </c>
      <c r="F39" t="n">
        <v>6000000</v>
      </c>
      <c r="L39">
        <f>VLOOKUP(B40,players!A:B,2)</f>
        <v/>
      </c>
    </row>
    <row r="40">
      <c r="A40" t="n">
        <v>2</v>
      </c>
      <c r="B40" t="n">
        <v>362</v>
      </c>
      <c r="C40" t="n">
        <v>7</v>
      </c>
      <c r="D40" t="n">
        <v>21500000</v>
      </c>
      <c r="F40" t="n">
        <v>21500000</v>
      </c>
      <c r="H40" t="n">
        <v>21500000</v>
      </c>
      <c r="L40">
        <f>VLOOKUP(B41,players!A:B,2)</f>
        <v/>
      </c>
    </row>
    <row r="41">
      <c r="A41" t="n">
        <v>2</v>
      </c>
      <c r="B41" t="n">
        <v>103</v>
      </c>
      <c r="C41" t="n">
        <v>8</v>
      </c>
      <c r="L41">
        <f>VLOOKUP(B42,players!A:B,2)</f>
        <v/>
      </c>
    </row>
    <row r="42">
      <c r="A42" t="n">
        <v>2</v>
      </c>
      <c r="B42" t="n">
        <v>69</v>
      </c>
      <c r="C42" t="n">
        <v>10</v>
      </c>
      <c r="D42" t="n">
        <v>3100000</v>
      </c>
      <c r="F42" t="n">
        <v>3100000</v>
      </c>
      <c r="H42" t="n">
        <v>3100000</v>
      </c>
      <c r="L42">
        <f>VLOOKUP(B43,players!A:B,2)</f>
        <v/>
      </c>
    </row>
    <row r="43">
      <c r="A43" t="n">
        <v>2</v>
      </c>
      <c r="B43" t="n">
        <v>49</v>
      </c>
      <c r="C43" t="n">
        <v>11</v>
      </c>
      <c r="D43" t="n">
        <v>3200000</v>
      </c>
      <c r="F43" t="n">
        <v>3400000</v>
      </c>
      <c r="G43" t="inlineStr">
        <is>
          <t>Sim</t>
        </is>
      </c>
      <c r="H43" t="n">
        <v>3700000</v>
      </c>
      <c r="I43" t="inlineStr">
        <is>
          <t>Sim</t>
        </is>
      </c>
      <c r="L43">
        <f>VLOOKUP(B44,players!A:B,2)</f>
        <v/>
      </c>
    </row>
    <row r="44">
      <c r="A44" t="n">
        <v>3</v>
      </c>
      <c r="B44" t="n">
        <v>184</v>
      </c>
      <c r="C44" t="n">
        <v>1</v>
      </c>
      <c r="D44" t="n">
        <v>8000000</v>
      </c>
      <c r="F44" t="n">
        <v>8000000</v>
      </c>
      <c r="L44">
        <f>VLOOKUP(B45,players!A:B,2)</f>
        <v/>
      </c>
    </row>
    <row r="45">
      <c r="A45" t="n">
        <v>3</v>
      </c>
      <c r="B45" t="n">
        <v>237</v>
      </c>
      <c r="C45" t="n">
        <v>2</v>
      </c>
      <c r="L45">
        <f>VLOOKUP(B46,players!A:B,2)</f>
        <v/>
      </c>
    </row>
    <row r="46">
      <c r="A46" t="n">
        <v>3</v>
      </c>
      <c r="B46" t="n">
        <v>119</v>
      </c>
      <c r="C46" t="n">
        <v>3</v>
      </c>
      <c r="L46">
        <f>VLOOKUP(B47,players!A:B,2)</f>
        <v/>
      </c>
    </row>
    <row r="47">
      <c r="A47" t="n">
        <v>3</v>
      </c>
      <c r="B47" t="n">
        <v>206</v>
      </c>
      <c r="C47" t="n">
        <v>4</v>
      </c>
      <c r="D47" t="n">
        <v>5000000</v>
      </c>
      <c r="L47">
        <f>VLOOKUP(B48,players!A:B,2)</f>
        <v/>
      </c>
    </row>
    <row r="48">
      <c r="A48" t="n">
        <v>3</v>
      </c>
      <c r="B48" t="n">
        <v>112</v>
      </c>
      <c r="C48" t="n">
        <v>5</v>
      </c>
      <c r="L48">
        <f>VLOOKUP(B49,players!A:B,2)</f>
        <v/>
      </c>
    </row>
    <row r="49">
      <c r="A49" t="n">
        <v>3</v>
      </c>
      <c r="B49" t="n">
        <v>23</v>
      </c>
      <c r="C49" t="n">
        <v>6</v>
      </c>
      <c r="L49">
        <f>VLOOKUP(B50,players!A:B,2)</f>
        <v/>
      </c>
    </row>
    <row r="50">
      <c r="A50" t="n">
        <v>3</v>
      </c>
      <c r="B50" t="n">
        <v>11</v>
      </c>
      <c r="C50" t="n">
        <v>7</v>
      </c>
      <c r="L50">
        <f>VLOOKUP(B51,players!A:B,2)</f>
        <v/>
      </c>
    </row>
    <row r="51">
      <c r="A51" t="n">
        <v>3</v>
      </c>
      <c r="B51" t="n">
        <v>36</v>
      </c>
      <c r="C51" t="n">
        <v>8</v>
      </c>
      <c r="D51" t="n">
        <v>40000000</v>
      </c>
      <c r="F51" t="n">
        <v>40000000</v>
      </c>
      <c r="H51" t="n">
        <v>40000000</v>
      </c>
      <c r="L51">
        <f>VLOOKUP(B52,players!A:B,2)</f>
        <v/>
      </c>
    </row>
    <row r="52">
      <c r="A52" t="n">
        <v>3</v>
      </c>
      <c r="B52" t="n">
        <v>68</v>
      </c>
      <c r="C52" t="n">
        <v>9</v>
      </c>
      <c r="D52" t="n">
        <v>6000000</v>
      </c>
      <c r="L52">
        <f>VLOOKUP(B53,players!A:B,2)</f>
        <v/>
      </c>
    </row>
    <row r="53">
      <c r="A53" t="n">
        <v>3</v>
      </c>
      <c r="B53" t="n">
        <v>85</v>
      </c>
      <c r="C53" t="n">
        <v>10</v>
      </c>
      <c r="D53" t="n">
        <v>14000000</v>
      </c>
      <c r="F53" t="n">
        <v>14000000</v>
      </c>
      <c r="L53">
        <f>VLOOKUP(B54,players!A:B,2)</f>
        <v/>
      </c>
    </row>
    <row r="54">
      <c r="A54" t="n">
        <v>3</v>
      </c>
      <c r="B54" t="n">
        <v>117</v>
      </c>
      <c r="C54" t="n">
        <v>11</v>
      </c>
      <c r="D54" t="n">
        <v>6500000</v>
      </c>
      <c r="F54" t="n">
        <v>6500000</v>
      </c>
      <c r="H54" t="n">
        <v>6500000</v>
      </c>
      <c r="L54">
        <f>VLOOKUP(B55,players!A:B,2)</f>
        <v/>
      </c>
    </row>
    <row r="55">
      <c r="A55" t="n">
        <v>3</v>
      </c>
      <c r="B55" t="n">
        <v>142</v>
      </c>
      <c r="C55" t="n">
        <v>12</v>
      </c>
      <c r="D55" t="n">
        <v>5000000</v>
      </c>
      <c r="L55">
        <f>VLOOKUP(B56,players!A:B,2)</f>
        <v/>
      </c>
    </row>
    <row r="56">
      <c r="A56" t="n">
        <v>3</v>
      </c>
      <c r="B56" t="n">
        <v>295</v>
      </c>
      <c r="C56" t="n">
        <v>13</v>
      </c>
      <c r="D56" t="n">
        <v>8000000</v>
      </c>
      <c r="L56">
        <f>VLOOKUP(B57,players!A:B,2)</f>
        <v/>
      </c>
    </row>
    <row r="57">
      <c r="A57" t="n">
        <v>3</v>
      </c>
      <c r="B57" t="n">
        <v>427</v>
      </c>
      <c r="C57" t="n">
        <v>14</v>
      </c>
      <c r="D57" t="n">
        <v>3200000</v>
      </c>
      <c r="F57" t="n">
        <v>3400000</v>
      </c>
      <c r="H57" t="n">
        <v>3600000</v>
      </c>
      <c r="I57" t="inlineStr">
        <is>
          <t>Sim</t>
        </is>
      </c>
      <c r="J57" t="n">
        <v>3900000</v>
      </c>
      <c r="K57" t="inlineStr">
        <is>
          <t>Sim</t>
        </is>
      </c>
      <c r="L57">
        <f>VLOOKUP(B58,players!A:B,2)</f>
        <v/>
      </c>
    </row>
    <row r="58">
      <c r="A58" t="n">
        <v>4</v>
      </c>
      <c r="B58" t="n">
        <v>379</v>
      </c>
      <c r="C58" t="n">
        <v>1</v>
      </c>
      <c r="D58" t="n">
        <v>1000000</v>
      </c>
      <c r="F58" t="n">
        <v>1000000</v>
      </c>
      <c r="G58" t="inlineStr">
        <is>
          <t>Sim</t>
        </is>
      </c>
      <c r="H58" t="n">
        <v>1000000</v>
      </c>
      <c r="I58" t="inlineStr">
        <is>
          <t>Sim</t>
        </is>
      </c>
      <c r="L58">
        <f>VLOOKUP(B59,players!A:B,2)</f>
        <v/>
      </c>
    </row>
    <row r="59">
      <c r="A59" t="n">
        <v>4</v>
      </c>
      <c r="B59" t="n">
        <v>364</v>
      </c>
      <c r="C59" t="n">
        <v>2</v>
      </c>
      <c r="D59" t="n">
        <v>1000000</v>
      </c>
      <c r="F59" t="n">
        <v>1000000</v>
      </c>
      <c r="G59" t="inlineStr">
        <is>
          <t>Sim</t>
        </is>
      </c>
      <c r="L59">
        <f>VLOOKUP(B60,players!A:B,2)</f>
        <v/>
      </c>
    </row>
    <row r="60">
      <c r="A60" t="n">
        <v>4</v>
      </c>
      <c r="B60" t="n">
        <v>104</v>
      </c>
      <c r="C60" t="n">
        <v>3</v>
      </c>
      <c r="L60">
        <f>VLOOKUP(B61,players!A:B,2)</f>
        <v/>
      </c>
    </row>
    <row r="61">
      <c r="A61" t="n">
        <v>4</v>
      </c>
      <c r="B61" t="n">
        <v>62</v>
      </c>
      <c r="C61" t="n">
        <v>4</v>
      </c>
      <c r="D61" t="n">
        <v>2500000</v>
      </c>
      <c r="L61">
        <f>VLOOKUP(B62,players!A:B,2)</f>
        <v/>
      </c>
    </row>
    <row r="62">
      <c r="A62" t="n">
        <v>4</v>
      </c>
      <c r="B62" t="n">
        <v>33</v>
      </c>
      <c r="C62" t="n">
        <v>5</v>
      </c>
      <c r="D62" t="n">
        <v>11000000</v>
      </c>
      <c r="L62">
        <f>VLOOKUP(B63,players!A:B,2)</f>
        <v/>
      </c>
    </row>
    <row r="63">
      <c r="A63" t="n">
        <v>4</v>
      </c>
      <c r="B63" t="n">
        <v>57</v>
      </c>
      <c r="C63" t="n">
        <v>6</v>
      </c>
      <c r="D63" t="n">
        <v>5000000</v>
      </c>
      <c r="F63" t="n">
        <v>5000000</v>
      </c>
      <c r="L63">
        <f>VLOOKUP(B64,players!A:B,2)</f>
        <v/>
      </c>
    </row>
    <row r="64">
      <c r="A64" t="n">
        <v>4</v>
      </c>
      <c r="B64" t="n">
        <v>16</v>
      </c>
      <c r="C64" t="n">
        <v>7</v>
      </c>
      <c r="D64" t="n">
        <v>17000000</v>
      </c>
      <c r="F64" t="n">
        <v>17000000</v>
      </c>
      <c r="L64">
        <f>VLOOKUP(B65,players!A:B,2)</f>
        <v/>
      </c>
    </row>
    <row r="65">
      <c r="A65" t="n">
        <v>4</v>
      </c>
      <c r="B65" t="n">
        <v>53</v>
      </c>
      <c r="C65" t="n">
        <v>8</v>
      </c>
      <c r="D65" t="n">
        <v>22500000</v>
      </c>
      <c r="L65">
        <f>VLOOKUP(B66,players!A:B,2)</f>
        <v/>
      </c>
    </row>
    <row r="66">
      <c r="A66" t="n">
        <v>4</v>
      </c>
      <c r="B66" t="n">
        <v>110</v>
      </c>
      <c r="C66" t="n">
        <v>9</v>
      </c>
      <c r="D66" t="n">
        <v>5000000</v>
      </c>
      <c r="F66" t="n">
        <v>5500000</v>
      </c>
      <c r="G66" t="inlineStr">
        <is>
          <t>Sim</t>
        </is>
      </c>
      <c r="L66">
        <f>VLOOKUP(B67,players!A:B,2)</f>
        <v/>
      </c>
    </row>
    <row r="67">
      <c r="A67" t="n">
        <v>4</v>
      </c>
      <c r="B67" t="n">
        <v>114</v>
      </c>
      <c r="C67" t="n">
        <v>10</v>
      </c>
      <c r="D67" t="n">
        <v>15000000</v>
      </c>
      <c r="F67" t="n">
        <v>15000000</v>
      </c>
      <c r="H67" t="n">
        <v>15000000</v>
      </c>
      <c r="L67">
        <f>VLOOKUP(B68,players!A:B,2)</f>
        <v/>
      </c>
    </row>
    <row r="68">
      <c r="A68" t="n">
        <v>4</v>
      </c>
      <c r="B68" t="n">
        <v>157</v>
      </c>
      <c r="C68" t="n">
        <v>11</v>
      </c>
      <c r="D68" t="n">
        <v>19000000</v>
      </c>
      <c r="F68" t="n">
        <v>19000000</v>
      </c>
      <c r="H68" t="n">
        <v>19000000</v>
      </c>
      <c r="L68">
        <f>VLOOKUP(B69,players!A:B,2)</f>
        <v/>
      </c>
    </row>
    <row r="69">
      <c r="A69" t="n">
        <v>4</v>
      </c>
      <c r="B69" t="n">
        <v>287</v>
      </c>
      <c r="C69" t="n">
        <v>12</v>
      </c>
      <c r="D69" t="n">
        <v>10000000</v>
      </c>
      <c r="L69">
        <f>VLOOKUP(B70,players!A:B,2)</f>
        <v/>
      </c>
    </row>
    <row r="70">
      <c r="A70" t="n">
        <v>4</v>
      </c>
      <c r="B70" t="n">
        <v>422</v>
      </c>
      <c r="C70" t="n">
        <v>13</v>
      </c>
      <c r="D70" t="n">
        <v>4500000</v>
      </c>
      <c r="F70" t="n">
        <v>5000000</v>
      </c>
      <c r="H70" t="n">
        <v>5500000</v>
      </c>
      <c r="I70" t="inlineStr">
        <is>
          <t>Sim</t>
        </is>
      </c>
      <c r="J70" t="n">
        <v>6000000</v>
      </c>
      <c r="K70" t="inlineStr">
        <is>
          <t>Sim</t>
        </is>
      </c>
      <c r="L70">
        <f>VLOOKUP(B71,players!A:B,2)</f>
        <v/>
      </c>
    </row>
    <row r="71">
      <c r="A71" t="n">
        <v>5</v>
      </c>
      <c r="B71" t="n">
        <v>305</v>
      </c>
      <c r="C71" t="n">
        <v>1</v>
      </c>
      <c r="L71">
        <f>VLOOKUP(B72,players!A:B,2)</f>
        <v/>
      </c>
    </row>
    <row r="72">
      <c r="A72" t="n">
        <v>5</v>
      </c>
      <c r="B72" t="n">
        <v>262</v>
      </c>
      <c r="C72" t="n">
        <v>2</v>
      </c>
      <c r="D72" t="n">
        <v>3600000</v>
      </c>
      <c r="F72" t="n">
        <v>3800000</v>
      </c>
      <c r="G72" t="inlineStr">
        <is>
          <t>Sim</t>
        </is>
      </c>
      <c r="H72" t="n">
        <v>4100000</v>
      </c>
      <c r="I72" t="inlineStr">
        <is>
          <t>Sim</t>
        </is>
      </c>
      <c r="L72">
        <f>VLOOKUP(B73,players!A:B,2)</f>
        <v/>
      </c>
    </row>
    <row r="73">
      <c r="A73" t="n">
        <v>5</v>
      </c>
      <c r="B73" t="n">
        <v>274</v>
      </c>
      <c r="C73" t="n">
        <v>3</v>
      </c>
      <c r="L73">
        <f>VLOOKUP(B74,players!A:B,2)</f>
        <v/>
      </c>
    </row>
    <row r="74">
      <c r="A74" t="n">
        <v>5</v>
      </c>
      <c r="B74" t="n">
        <v>143</v>
      </c>
      <c r="C74" t="n">
        <v>4</v>
      </c>
      <c r="D74" t="n">
        <v>21000000</v>
      </c>
      <c r="F74" t="n">
        <v>21000000</v>
      </c>
      <c r="L74">
        <f>VLOOKUP(B75,players!A:B,2)</f>
        <v/>
      </c>
    </row>
    <row r="75">
      <c r="A75" t="n">
        <v>5</v>
      </c>
      <c r="B75" t="n">
        <v>131</v>
      </c>
      <c r="C75" t="n">
        <v>5</v>
      </c>
      <c r="L75">
        <f>VLOOKUP(B76,players!A:B,2)</f>
        <v/>
      </c>
    </row>
    <row r="76">
      <c r="A76" t="n">
        <v>5</v>
      </c>
      <c r="B76" t="n">
        <v>139</v>
      </c>
      <c r="C76" t="n">
        <v>6</v>
      </c>
      <c r="D76" t="n">
        <v>1000000</v>
      </c>
      <c r="F76" t="n">
        <v>1000000</v>
      </c>
      <c r="G76" t="inlineStr">
        <is>
          <t>Sim</t>
        </is>
      </c>
      <c r="H76" t="n">
        <v>1000000</v>
      </c>
      <c r="I76" t="inlineStr">
        <is>
          <t>Sim</t>
        </is>
      </c>
      <c r="L76">
        <f>VLOOKUP(B77,players!A:B,2)</f>
        <v/>
      </c>
    </row>
    <row r="77">
      <c r="A77" t="n">
        <v>5</v>
      </c>
      <c r="B77" t="n">
        <v>37</v>
      </c>
      <c r="C77" t="n">
        <v>7</v>
      </c>
      <c r="D77" t="n">
        <v>17000000</v>
      </c>
      <c r="F77" t="n">
        <v>17000000</v>
      </c>
      <c r="L77">
        <f>VLOOKUP(B78,players!A:B,2)</f>
        <v/>
      </c>
    </row>
    <row r="78">
      <c r="A78" t="n">
        <v>5</v>
      </c>
      <c r="B78" t="n">
        <v>17</v>
      </c>
      <c r="C78" t="n">
        <v>8</v>
      </c>
      <c r="D78" t="n">
        <v>40000000</v>
      </c>
      <c r="F78" t="n">
        <v>40000000</v>
      </c>
      <c r="H78" t="n">
        <v>40000000</v>
      </c>
      <c r="L78">
        <f>VLOOKUP(B79,players!A:B,2)</f>
        <v/>
      </c>
    </row>
    <row r="79">
      <c r="A79" t="n">
        <v>5</v>
      </c>
      <c r="B79" t="n">
        <v>72</v>
      </c>
      <c r="C79" t="n">
        <v>9</v>
      </c>
      <c r="D79" t="n">
        <v>3100000</v>
      </c>
      <c r="F79" t="n">
        <v>3100000</v>
      </c>
      <c r="L79">
        <f>VLOOKUP(B80,players!A:B,2)</f>
        <v/>
      </c>
    </row>
    <row r="80">
      <c r="A80" t="n">
        <v>5</v>
      </c>
      <c r="B80" t="n">
        <v>227</v>
      </c>
      <c r="C80" t="n">
        <v>10</v>
      </c>
      <c r="L80">
        <f>VLOOKUP(B81,players!A:B,2)</f>
        <v/>
      </c>
    </row>
    <row r="81">
      <c r="A81" t="n">
        <v>5</v>
      </c>
      <c r="B81" t="n">
        <v>48</v>
      </c>
      <c r="C81" t="n">
        <v>11</v>
      </c>
      <c r="L81">
        <f>VLOOKUP(B82,players!A:B,2)</f>
        <v/>
      </c>
    </row>
    <row r="82">
      <c r="A82" t="n">
        <v>5</v>
      </c>
      <c r="B82" t="n">
        <v>148</v>
      </c>
      <c r="C82" t="n">
        <v>12</v>
      </c>
      <c r="L82">
        <f>VLOOKUP(B83,players!A:B,2)</f>
        <v/>
      </c>
    </row>
    <row r="83">
      <c r="A83" t="n">
        <v>5</v>
      </c>
      <c r="B83" t="n">
        <v>152</v>
      </c>
      <c r="C83" t="n">
        <v>12</v>
      </c>
      <c r="L83">
        <f>VLOOKUP(B84,players!A:B,2)</f>
        <v/>
      </c>
    </row>
    <row r="84">
      <c r="A84" t="n">
        <v>5</v>
      </c>
      <c r="B84" t="n">
        <v>418</v>
      </c>
      <c r="C84" t="n">
        <v>13</v>
      </c>
      <c r="D84" t="n">
        <v>8000000</v>
      </c>
      <c r="F84" t="n">
        <v>8500000</v>
      </c>
      <c r="H84" t="n">
        <v>9250000</v>
      </c>
      <c r="I84" t="inlineStr">
        <is>
          <t>Sim</t>
        </is>
      </c>
      <c r="J84" t="n">
        <v>10000000</v>
      </c>
      <c r="K84" t="inlineStr">
        <is>
          <t>Sim</t>
        </is>
      </c>
      <c r="L84">
        <f>VLOOKUP(B85,players!A:B,2)</f>
        <v/>
      </c>
    </row>
    <row r="85">
      <c r="A85" t="n">
        <v>5</v>
      </c>
      <c r="B85" t="n">
        <v>429</v>
      </c>
      <c r="C85" t="n">
        <v>14</v>
      </c>
      <c r="D85" t="n">
        <v>2800000</v>
      </c>
      <c r="F85" t="n">
        <v>3000000</v>
      </c>
      <c r="H85" t="n">
        <v>3200000</v>
      </c>
      <c r="I85" t="inlineStr">
        <is>
          <t>Sim</t>
        </is>
      </c>
      <c r="J85" t="n">
        <v>3500000</v>
      </c>
      <c r="K85" t="inlineStr">
        <is>
          <t>Sim</t>
        </is>
      </c>
      <c r="L85">
        <f>VLOOKUP(B86,players!A:B,2)</f>
        <v/>
      </c>
    </row>
    <row r="86">
      <c r="A86" t="n">
        <v>6</v>
      </c>
      <c r="B86" t="n">
        <v>162</v>
      </c>
      <c r="C86" t="n">
        <v>1</v>
      </c>
      <c r="D86" t="n">
        <v>6000000</v>
      </c>
      <c r="F86" t="n">
        <v>6000000</v>
      </c>
      <c r="L86">
        <f>VLOOKUP(B87,players!A:B,2)</f>
        <v/>
      </c>
    </row>
    <row r="87">
      <c r="A87" t="n">
        <v>6</v>
      </c>
      <c r="B87" t="n">
        <v>338</v>
      </c>
      <c r="C87" t="n">
        <v>2</v>
      </c>
      <c r="D87" t="n">
        <v>1000000</v>
      </c>
      <c r="L87">
        <f>VLOOKUP(B88,players!A:B,2)</f>
        <v/>
      </c>
    </row>
    <row r="88">
      <c r="A88" t="n">
        <v>6</v>
      </c>
      <c r="B88" t="n">
        <v>45</v>
      </c>
      <c r="C88" t="n">
        <v>3</v>
      </c>
      <c r="L88">
        <f>VLOOKUP(B89,players!A:B,2)</f>
        <v/>
      </c>
    </row>
    <row r="89">
      <c r="A89" t="n">
        <v>6</v>
      </c>
      <c r="B89" t="n">
        <v>122</v>
      </c>
      <c r="C89" t="n">
        <v>4</v>
      </c>
      <c r="L89">
        <f>VLOOKUP(B90,players!A:B,2)</f>
        <v/>
      </c>
    </row>
    <row r="90">
      <c r="A90" t="n">
        <v>6</v>
      </c>
      <c r="B90" t="n">
        <v>98</v>
      </c>
      <c r="C90" t="n">
        <v>5</v>
      </c>
      <c r="L90">
        <f>VLOOKUP(B91,players!A:B,2)</f>
        <v/>
      </c>
    </row>
    <row r="91">
      <c r="A91" t="n">
        <v>6</v>
      </c>
      <c r="B91" t="n">
        <v>13</v>
      </c>
      <c r="C91" t="n">
        <v>6</v>
      </c>
      <c r="L91">
        <f>VLOOKUP(B92,players!A:B,2)</f>
        <v/>
      </c>
    </row>
    <row r="92">
      <c r="A92" t="n">
        <v>6</v>
      </c>
      <c r="B92" t="n">
        <v>1</v>
      </c>
      <c r="C92" t="n">
        <v>7</v>
      </c>
      <c r="D92" t="n">
        <v>20000000</v>
      </c>
      <c r="L92">
        <f>VLOOKUP(B93,players!A:B,2)</f>
        <v/>
      </c>
    </row>
    <row r="93">
      <c r="A93" t="n">
        <v>6</v>
      </c>
      <c r="B93" t="n">
        <v>27</v>
      </c>
      <c r="C93" t="n">
        <v>8</v>
      </c>
      <c r="L93">
        <f>VLOOKUP(B94,players!A:B,2)</f>
        <v/>
      </c>
    </row>
    <row r="94">
      <c r="A94" t="n">
        <v>6</v>
      </c>
      <c r="B94" t="n">
        <v>77</v>
      </c>
      <c r="C94" t="n">
        <v>9</v>
      </c>
      <c r="D94" t="n">
        <v>7000000</v>
      </c>
      <c r="L94">
        <f>VLOOKUP(B95,players!A:B,2)</f>
        <v/>
      </c>
    </row>
    <row r="95">
      <c r="A95" t="n">
        <v>6</v>
      </c>
      <c r="B95" t="n">
        <v>97</v>
      </c>
      <c r="C95" t="n">
        <v>10</v>
      </c>
      <c r="D95" t="n">
        <v>35000000</v>
      </c>
      <c r="F95" t="n">
        <v>35000000</v>
      </c>
      <c r="L95">
        <f>VLOOKUP(B96,players!A:B,2)</f>
        <v/>
      </c>
    </row>
    <row r="96">
      <c r="A96" t="n">
        <v>6</v>
      </c>
      <c r="B96" t="n">
        <v>56</v>
      </c>
      <c r="C96" t="n">
        <v>11</v>
      </c>
      <c r="D96" t="n">
        <v>3100000</v>
      </c>
      <c r="F96" t="n">
        <v>3100000</v>
      </c>
      <c r="L96">
        <f>VLOOKUP(B97,players!A:B,2)</f>
        <v/>
      </c>
    </row>
    <row r="97">
      <c r="A97" t="n">
        <v>6</v>
      </c>
      <c r="B97" t="n">
        <v>211</v>
      </c>
      <c r="C97" t="n">
        <v>12</v>
      </c>
      <c r="D97" t="n">
        <v>1000000</v>
      </c>
      <c r="L97">
        <f>VLOOKUP(B98,players!A:B,2)</f>
        <v/>
      </c>
    </row>
    <row r="98">
      <c r="A98" t="n">
        <v>6</v>
      </c>
      <c r="B98" t="n">
        <v>161</v>
      </c>
      <c r="C98" t="n">
        <v>13</v>
      </c>
      <c r="L98">
        <f>VLOOKUP(B99,players!A:B,2)</f>
        <v/>
      </c>
    </row>
    <row r="99">
      <c r="A99" t="n">
        <v>6</v>
      </c>
      <c r="B99" t="n">
        <v>93</v>
      </c>
      <c r="C99" t="n">
        <v>14</v>
      </c>
      <c r="D99" t="n">
        <v>6000000</v>
      </c>
      <c r="F99" t="n">
        <v>6000000</v>
      </c>
      <c r="L99">
        <f>VLOOKUP(B100,players!A:B,2)</f>
        <v/>
      </c>
    </row>
    <row r="100">
      <c r="A100" t="n">
        <v>6</v>
      </c>
      <c r="B100" t="n">
        <v>71</v>
      </c>
      <c r="C100" t="n">
        <v>15</v>
      </c>
      <c r="L100">
        <f>VLOOKUP(B101,players!A:B,2)</f>
        <v/>
      </c>
    </row>
    <row r="101">
      <c r="A101" t="n">
        <v>1</v>
      </c>
      <c r="B101" t="n">
        <v>420</v>
      </c>
      <c r="C101" t="n">
        <v>13</v>
      </c>
      <c r="D101" t="n">
        <v>6000000</v>
      </c>
      <c r="F101" t="n">
        <v>6500000</v>
      </c>
      <c r="H101" t="n">
        <v>7000000</v>
      </c>
      <c r="I101" t="inlineStr">
        <is>
          <t>Sim</t>
        </is>
      </c>
      <c r="J101" t="n">
        <v>7500000</v>
      </c>
      <c r="K101" t="inlineStr">
        <is>
          <t>Sim</t>
        </is>
      </c>
      <c r="L101">
        <f>VLOOKUP(B102,players!A:B,2)</f>
        <v/>
      </c>
    </row>
    <row r="102">
      <c r="A102" t="n">
        <v>8</v>
      </c>
      <c r="B102" t="n">
        <v>242</v>
      </c>
      <c r="C102" t="n">
        <v>1</v>
      </c>
      <c r="D102" t="n">
        <v>3800000</v>
      </c>
      <c r="F102" t="n">
        <v>4100000</v>
      </c>
      <c r="G102" t="inlineStr">
        <is>
          <t>Sim</t>
        </is>
      </c>
      <c r="L102">
        <f>VLOOKUP(B103,players!A:B,2)</f>
        <v/>
      </c>
    </row>
    <row r="103">
      <c r="A103" t="n">
        <v>8</v>
      </c>
      <c r="B103" t="n">
        <v>154</v>
      </c>
      <c r="C103" t="n">
        <v>2</v>
      </c>
      <c r="L103">
        <f>VLOOKUP(B104,players!A:B,2)</f>
        <v/>
      </c>
    </row>
    <row r="104">
      <c r="A104" t="n">
        <v>8</v>
      </c>
      <c r="B104" t="n">
        <v>76</v>
      </c>
      <c r="C104" t="n">
        <v>3</v>
      </c>
      <c r="D104" t="n">
        <v>1000000</v>
      </c>
      <c r="F104" t="n">
        <v>1000000</v>
      </c>
      <c r="G104" t="inlineStr">
        <is>
          <t>Sim</t>
        </is>
      </c>
      <c r="H104" t="n">
        <v>1000000</v>
      </c>
      <c r="I104" t="inlineStr">
        <is>
          <t>Sim</t>
        </is>
      </c>
      <c r="L104">
        <f>VLOOKUP(B105,players!A:B,2)</f>
        <v/>
      </c>
    </row>
    <row r="105">
      <c r="A105" t="n">
        <v>8</v>
      </c>
      <c r="B105" t="n">
        <v>79</v>
      </c>
      <c r="C105" t="n">
        <v>4</v>
      </c>
      <c r="D105" t="n">
        <v>2000000</v>
      </c>
      <c r="L105">
        <f>VLOOKUP(B106,players!A:B,2)</f>
        <v/>
      </c>
    </row>
    <row r="106">
      <c r="A106" t="n">
        <v>8</v>
      </c>
      <c r="B106" t="n">
        <v>116</v>
      </c>
      <c r="C106" t="n">
        <v>5</v>
      </c>
      <c r="D106" t="n">
        <v>6000000</v>
      </c>
      <c r="F106" t="n">
        <v>6000000</v>
      </c>
      <c r="H106" t="n">
        <v>6000000</v>
      </c>
      <c r="L106">
        <f>VLOOKUP(B107,players!A:B,2)</f>
        <v/>
      </c>
    </row>
    <row r="107">
      <c r="A107" t="n">
        <v>8</v>
      </c>
      <c r="B107" t="n">
        <v>3</v>
      </c>
      <c r="C107" t="n">
        <v>6</v>
      </c>
      <c r="D107" t="n">
        <v>7000000</v>
      </c>
      <c r="F107" t="n">
        <v>7500000</v>
      </c>
      <c r="G107" t="inlineStr">
        <is>
          <t>Sim</t>
        </is>
      </c>
      <c r="L107">
        <f>VLOOKUP(B108,players!A:B,2)</f>
        <v/>
      </c>
    </row>
    <row r="108">
      <c r="A108" t="n">
        <v>8</v>
      </c>
      <c r="B108" t="n">
        <v>5</v>
      </c>
      <c r="C108" t="n">
        <v>7</v>
      </c>
      <c r="D108" t="n">
        <v>4000000</v>
      </c>
      <c r="F108" t="n">
        <v>4000000</v>
      </c>
      <c r="L108">
        <f>VLOOKUP(B109,players!A:B,2)</f>
        <v/>
      </c>
    </row>
    <row r="109">
      <c r="A109" t="n">
        <v>8</v>
      </c>
      <c r="B109" t="n">
        <v>14</v>
      </c>
      <c r="C109" t="n">
        <v>8</v>
      </c>
      <c r="D109" t="n">
        <v>16000000</v>
      </c>
      <c r="F109" t="n">
        <v>16000000</v>
      </c>
      <c r="H109" t="n">
        <v>16000000</v>
      </c>
      <c r="L109">
        <f>VLOOKUP(B110,players!A:B,2)</f>
        <v/>
      </c>
    </row>
    <row r="110">
      <c r="A110" t="n">
        <v>8</v>
      </c>
      <c r="B110" t="n">
        <v>83</v>
      </c>
      <c r="C110" t="n">
        <v>9</v>
      </c>
      <c r="D110" t="n">
        <v>9000000</v>
      </c>
      <c r="F110" t="n">
        <v>9000000</v>
      </c>
      <c r="L110">
        <f>VLOOKUP(B111,players!A:B,2)</f>
        <v/>
      </c>
    </row>
    <row r="111">
      <c r="A111" t="n">
        <v>8</v>
      </c>
      <c r="B111" t="n">
        <v>84</v>
      </c>
      <c r="C111" t="n">
        <v>10</v>
      </c>
      <c r="D111" t="n">
        <v>16000000</v>
      </c>
      <c r="L111">
        <f>VLOOKUP(B112,players!A:B,2)</f>
        <v/>
      </c>
    </row>
    <row r="112">
      <c r="A112" t="n">
        <v>8</v>
      </c>
      <c r="B112" t="n">
        <v>203</v>
      </c>
      <c r="C112" t="n">
        <v>11</v>
      </c>
      <c r="D112" t="n">
        <v>19000000</v>
      </c>
      <c r="F112" t="n">
        <v>19000000</v>
      </c>
      <c r="H112" t="n">
        <v>19000000</v>
      </c>
      <c r="L112">
        <f>VLOOKUP(B113,players!A:B,2)</f>
        <v/>
      </c>
    </row>
    <row r="113">
      <c r="A113" t="n">
        <v>8</v>
      </c>
      <c r="B113" t="n">
        <v>225</v>
      </c>
      <c r="C113" t="n">
        <v>12</v>
      </c>
      <c r="L113">
        <f>VLOOKUP(B114,players!A:B,2)</f>
        <v/>
      </c>
    </row>
    <row r="114">
      <c r="A114" t="n">
        <v>8</v>
      </c>
      <c r="B114" t="n">
        <v>59</v>
      </c>
      <c r="C114" t="n">
        <v>13</v>
      </c>
      <c r="L114">
        <f>VLOOKUP(B115,players!A:B,2)</f>
        <v/>
      </c>
    </row>
    <row r="115">
      <c r="A115" t="n">
        <v>8</v>
      </c>
      <c r="B115" t="n">
        <v>336</v>
      </c>
      <c r="C115" t="n">
        <v>14</v>
      </c>
      <c r="L115">
        <f>VLOOKUP(B116,players!A:B,2)</f>
        <v/>
      </c>
    </row>
    <row r="116">
      <c r="A116" t="n">
        <v>8</v>
      </c>
      <c r="B116" t="n">
        <v>428</v>
      </c>
      <c r="C116" t="n">
        <v>15</v>
      </c>
      <c r="D116" t="n">
        <v>3000000</v>
      </c>
      <c r="F116" t="n">
        <v>3200000</v>
      </c>
      <c r="H116" t="n">
        <v>3400000</v>
      </c>
      <c r="I116" t="inlineStr">
        <is>
          <t>Sim</t>
        </is>
      </c>
      <c r="J116" t="n">
        <v>3700000</v>
      </c>
      <c r="K116" t="inlineStr">
        <is>
          <t>Sim</t>
        </is>
      </c>
      <c r="L116">
        <f>VLOOKUP(B117,players!A:B,2)</f>
        <v/>
      </c>
    </row>
    <row r="117">
      <c r="A117" t="n">
        <v>9</v>
      </c>
      <c r="B117" t="n">
        <v>384</v>
      </c>
      <c r="C117" t="n">
        <v>1</v>
      </c>
      <c r="D117" t="n">
        <v>3100000</v>
      </c>
      <c r="F117" t="n">
        <v>3100000</v>
      </c>
      <c r="H117" t="n">
        <v>3100000</v>
      </c>
      <c r="L117">
        <f>VLOOKUP(B118,players!A:B,2)</f>
        <v/>
      </c>
    </row>
    <row r="118">
      <c r="A118" t="n">
        <v>9</v>
      </c>
      <c r="B118" t="n">
        <v>240</v>
      </c>
      <c r="C118" t="n">
        <v>2</v>
      </c>
      <c r="L118">
        <f>VLOOKUP(B119,players!A:B,2)</f>
        <v/>
      </c>
    </row>
    <row r="119">
      <c r="A119" t="n">
        <v>9</v>
      </c>
      <c r="B119" t="n">
        <v>186</v>
      </c>
      <c r="C119" t="n">
        <v>3</v>
      </c>
      <c r="D119" t="n">
        <v>4500000</v>
      </c>
      <c r="L119">
        <f>VLOOKUP(B120,players!A:B,2)</f>
        <v/>
      </c>
    </row>
    <row r="120">
      <c r="A120" t="n">
        <v>9</v>
      </c>
      <c r="B120" t="n">
        <v>251</v>
      </c>
      <c r="C120" t="n">
        <v>4</v>
      </c>
      <c r="L120">
        <f>VLOOKUP(B121,players!A:B,2)</f>
        <v/>
      </c>
    </row>
    <row r="121">
      <c r="A121" t="n">
        <v>9</v>
      </c>
      <c r="B121" t="n">
        <v>416</v>
      </c>
      <c r="C121" t="n">
        <v>5</v>
      </c>
      <c r="L121">
        <f>VLOOKUP(B122,players!A:B,2)</f>
        <v/>
      </c>
    </row>
    <row r="122">
      <c r="A122" t="n">
        <v>9</v>
      </c>
      <c r="B122" t="n">
        <v>170</v>
      </c>
      <c r="C122" t="n">
        <v>6</v>
      </c>
      <c r="D122" t="n">
        <v>3100000</v>
      </c>
      <c r="F122" t="n">
        <v>3100000</v>
      </c>
      <c r="H122" t="n">
        <v>3100000</v>
      </c>
      <c r="L122">
        <f>VLOOKUP(B123,players!A:B,2)</f>
        <v/>
      </c>
    </row>
    <row r="123">
      <c r="A123" t="n">
        <v>9</v>
      </c>
      <c r="B123" t="n">
        <v>15</v>
      </c>
      <c r="C123" t="n">
        <v>7</v>
      </c>
      <c r="D123" t="n">
        <v>32000000</v>
      </c>
      <c r="F123" t="n">
        <v>32000000</v>
      </c>
      <c r="H123" t="n">
        <v>32000000</v>
      </c>
      <c r="L123">
        <f>VLOOKUP(B124,players!A:B,2)</f>
        <v/>
      </c>
    </row>
    <row r="124">
      <c r="A124" t="n">
        <v>9</v>
      </c>
      <c r="B124" t="n">
        <v>26</v>
      </c>
      <c r="C124" t="n">
        <v>8</v>
      </c>
      <c r="D124" t="n">
        <v>12500000</v>
      </c>
      <c r="F124" t="n">
        <v>12500000</v>
      </c>
      <c r="H124" t="n">
        <v>12500000</v>
      </c>
      <c r="L124">
        <f>VLOOKUP(B125,players!A:B,2)</f>
        <v/>
      </c>
    </row>
    <row r="125">
      <c r="A125" t="n">
        <v>9</v>
      </c>
      <c r="B125" t="n">
        <v>89</v>
      </c>
      <c r="C125" t="n">
        <v>9</v>
      </c>
      <c r="D125" t="n">
        <v>11500000</v>
      </c>
      <c r="L125">
        <f>VLOOKUP(B126,players!A:B,2)</f>
        <v/>
      </c>
    </row>
    <row r="126">
      <c r="A126" t="n">
        <v>9</v>
      </c>
      <c r="B126" t="n">
        <v>167</v>
      </c>
      <c r="C126" t="n">
        <v>10</v>
      </c>
      <c r="D126" t="n">
        <v>3100000</v>
      </c>
      <c r="F126" t="n">
        <v>3100000</v>
      </c>
      <c r="H126" t="n">
        <v>3100000</v>
      </c>
      <c r="L126">
        <f>VLOOKUP(B127,players!A:B,2)</f>
        <v/>
      </c>
    </row>
    <row r="127">
      <c r="A127" t="n">
        <v>9</v>
      </c>
      <c r="B127" t="n">
        <v>217</v>
      </c>
      <c r="C127" t="n">
        <v>11</v>
      </c>
      <c r="D127" t="n">
        <v>25000000</v>
      </c>
      <c r="L127">
        <f>VLOOKUP(B128,players!A:B,2)</f>
        <v/>
      </c>
    </row>
    <row r="128">
      <c r="A128" t="n">
        <v>9</v>
      </c>
      <c r="B128" t="n">
        <v>331</v>
      </c>
      <c r="C128" t="n">
        <v>12</v>
      </c>
      <c r="D128" t="n">
        <v>12000000</v>
      </c>
      <c r="F128" t="n">
        <v>12000000</v>
      </c>
      <c r="H128" t="n">
        <v>12000000</v>
      </c>
      <c r="L128">
        <f>VLOOKUP(B129,players!A:B,2)</f>
        <v/>
      </c>
    </row>
    <row r="129">
      <c r="A129" t="n">
        <v>9</v>
      </c>
      <c r="B129" t="n">
        <v>433</v>
      </c>
      <c r="C129" t="n">
        <v>13</v>
      </c>
      <c r="D129" t="n">
        <v>1000000</v>
      </c>
      <c r="F129" t="n">
        <v>1000000</v>
      </c>
      <c r="H129" t="n">
        <v>1000000</v>
      </c>
      <c r="I129" t="inlineStr">
        <is>
          <t>Sim</t>
        </is>
      </c>
      <c r="J129" t="n">
        <v>1000000</v>
      </c>
      <c r="K129" t="inlineStr">
        <is>
          <t>Sim</t>
        </is>
      </c>
      <c r="L129">
        <f>VLOOKUP(B130,players!A:B,2)</f>
        <v/>
      </c>
    </row>
    <row r="130">
      <c r="A130" t="n">
        <v>10</v>
      </c>
      <c r="B130" t="n">
        <v>9</v>
      </c>
      <c r="C130" t="n">
        <v>1</v>
      </c>
      <c r="L130">
        <f>VLOOKUP(B131,players!A:B,2)</f>
        <v/>
      </c>
    </row>
    <row r="131">
      <c r="A131" t="n">
        <v>10</v>
      </c>
      <c r="B131" t="n">
        <v>373</v>
      </c>
      <c r="C131" t="n">
        <v>2</v>
      </c>
      <c r="L131">
        <f>VLOOKUP(B132,players!A:B,2)</f>
        <v/>
      </c>
    </row>
    <row r="132">
      <c r="A132" t="n">
        <v>10</v>
      </c>
      <c r="B132" t="n">
        <v>249</v>
      </c>
      <c r="C132" t="n">
        <v>3</v>
      </c>
      <c r="L132">
        <f>VLOOKUP(B133,players!A:B,2)</f>
        <v/>
      </c>
    </row>
    <row r="133">
      <c r="A133" t="n">
        <v>10</v>
      </c>
      <c r="B133" t="n">
        <v>169</v>
      </c>
      <c r="C133" t="n">
        <v>4</v>
      </c>
      <c r="D133" t="n">
        <v>4100000</v>
      </c>
      <c r="L133">
        <f>VLOOKUP(B134,players!A:B,2)</f>
        <v/>
      </c>
    </row>
    <row r="134">
      <c r="A134" t="n">
        <v>10</v>
      </c>
      <c r="B134" t="n">
        <v>34</v>
      </c>
      <c r="C134" t="n">
        <v>5</v>
      </c>
      <c r="D134" t="n">
        <v>6000000</v>
      </c>
      <c r="F134" t="n">
        <v>6000000</v>
      </c>
      <c r="L134">
        <f>VLOOKUP(B135,players!A:B,2)</f>
        <v/>
      </c>
    </row>
    <row r="135">
      <c r="A135" t="n">
        <v>10</v>
      </c>
      <c r="B135" t="n">
        <v>168</v>
      </c>
      <c r="C135" t="n">
        <v>6</v>
      </c>
      <c r="D135" t="n">
        <v>1000000</v>
      </c>
      <c r="L135">
        <f>VLOOKUP(B136,players!A:B,2)</f>
        <v/>
      </c>
    </row>
    <row r="136">
      <c r="A136" t="n">
        <v>10</v>
      </c>
      <c r="B136" t="n">
        <v>28</v>
      </c>
      <c r="C136" t="n">
        <v>7</v>
      </c>
      <c r="L136">
        <f>VLOOKUP(B137,players!A:B,2)</f>
        <v/>
      </c>
    </row>
    <row r="137">
      <c r="A137" t="n">
        <v>10</v>
      </c>
      <c r="B137" t="n">
        <v>44</v>
      </c>
      <c r="C137" t="n">
        <v>8</v>
      </c>
      <c r="D137" t="n">
        <v>9250000</v>
      </c>
      <c r="F137" t="n">
        <v>10000000</v>
      </c>
      <c r="G137" t="inlineStr">
        <is>
          <t>Sim</t>
        </is>
      </c>
      <c r="L137">
        <f>VLOOKUP(B138,players!A:B,2)</f>
        <v/>
      </c>
    </row>
    <row r="138">
      <c r="A138" t="n">
        <v>10</v>
      </c>
      <c r="B138" t="n">
        <v>60</v>
      </c>
      <c r="C138" t="n">
        <v>9</v>
      </c>
      <c r="D138" t="n">
        <v>15000000</v>
      </c>
      <c r="F138" t="n">
        <v>15000000</v>
      </c>
      <c r="H138" t="n">
        <v>15000000</v>
      </c>
      <c r="L138">
        <f>VLOOKUP(B139,players!A:B,2)</f>
        <v/>
      </c>
    </row>
    <row r="139">
      <c r="A139" t="n">
        <v>10</v>
      </c>
      <c r="B139" t="n">
        <v>153</v>
      </c>
      <c r="C139" t="n">
        <v>10</v>
      </c>
      <c r="D139" t="n">
        <v>11000000</v>
      </c>
      <c r="F139" t="n">
        <v>11000000</v>
      </c>
      <c r="L139">
        <f>VLOOKUP(B140,players!A:B,2)</f>
        <v/>
      </c>
    </row>
    <row r="140">
      <c r="A140" t="n">
        <v>10</v>
      </c>
      <c r="B140" t="n">
        <v>160</v>
      </c>
      <c r="C140" t="n">
        <v>11</v>
      </c>
      <c r="D140" t="n">
        <v>16000000</v>
      </c>
      <c r="F140" t="n">
        <v>16000000</v>
      </c>
      <c r="H140" t="n">
        <v>16000000</v>
      </c>
      <c r="L140">
        <f>VLOOKUP(B141,players!A:B,2)</f>
        <v/>
      </c>
    </row>
    <row r="141">
      <c r="A141" t="n">
        <v>10</v>
      </c>
      <c r="B141" t="n">
        <v>246</v>
      </c>
      <c r="C141" t="n">
        <v>12</v>
      </c>
      <c r="D141" t="n">
        <v>24000000</v>
      </c>
      <c r="L141">
        <f>VLOOKUP(B142,players!A:B,2)</f>
        <v/>
      </c>
    </row>
    <row r="142">
      <c r="A142" t="n">
        <v>11</v>
      </c>
      <c r="B142" t="n">
        <v>327</v>
      </c>
      <c r="C142" t="n">
        <v>1</v>
      </c>
      <c r="L142">
        <f>VLOOKUP(B143,players!A:B,2)</f>
        <v/>
      </c>
    </row>
    <row r="143">
      <c r="A143" t="n">
        <v>11</v>
      </c>
      <c r="B143" t="n">
        <v>213</v>
      </c>
      <c r="C143" t="n">
        <v>2</v>
      </c>
      <c r="L143">
        <f>VLOOKUP(B144,players!A:B,2)</f>
        <v/>
      </c>
    </row>
    <row r="144">
      <c r="A144" t="n">
        <v>11</v>
      </c>
      <c r="B144" t="n">
        <v>111</v>
      </c>
      <c r="C144" t="n">
        <v>3</v>
      </c>
      <c r="D144" t="n">
        <v>1000000</v>
      </c>
      <c r="L144">
        <f>VLOOKUP(B145,players!A:B,2)</f>
        <v/>
      </c>
    </row>
    <row r="145">
      <c r="A145" t="n">
        <v>11</v>
      </c>
      <c r="B145" t="n">
        <v>58</v>
      </c>
      <c r="C145" t="n">
        <v>4</v>
      </c>
      <c r="L145">
        <f>VLOOKUP(B146,players!A:B,2)</f>
        <v/>
      </c>
    </row>
    <row r="146">
      <c r="A146" t="n">
        <v>11</v>
      </c>
      <c r="B146" t="n">
        <v>18</v>
      </c>
      <c r="C146" t="n">
        <v>5</v>
      </c>
      <c r="D146" t="n">
        <v>1000000</v>
      </c>
      <c r="L146">
        <f>VLOOKUP(B147,players!A:B,2)</f>
        <v/>
      </c>
    </row>
    <row r="147">
      <c r="A147" t="n">
        <v>11</v>
      </c>
      <c r="B147" t="n">
        <v>63</v>
      </c>
      <c r="C147" t="n">
        <v>6</v>
      </c>
      <c r="L147">
        <f>VLOOKUP(B148,players!A:B,2)</f>
        <v/>
      </c>
    </row>
    <row r="148">
      <c r="A148" t="n">
        <v>11</v>
      </c>
      <c r="B148" t="n">
        <v>6</v>
      </c>
      <c r="C148" t="n">
        <v>7</v>
      </c>
      <c r="D148" t="n">
        <v>26000000</v>
      </c>
      <c r="L148">
        <f>VLOOKUP(B149,players!A:B,2)</f>
        <v/>
      </c>
    </row>
    <row r="149">
      <c r="A149" t="n">
        <v>11</v>
      </c>
      <c r="B149" t="n">
        <v>177</v>
      </c>
      <c r="C149" t="n">
        <v>8</v>
      </c>
      <c r="D149" t="n">
        <v>15000000</v>
      </c>
      <c r="L149">
        <f>VLOOKUP(B150,players!A:B,2)</f>
        <v/>
      </c>
    </row>
    <row r="150">
      <c r="A150" t="n">
        <v>11</v>
      </c>
      <c r="B150" t="n">
        <v>35</v>
      </c>
      <c r="C150" t="n">
        <v>9</v>
      </c>
      <c r="D150" t="n">
        <v>7500000</v>
      </c>
      <c r="L150">
        <f>VLOOKUP(B151,players!A:B,2)</f>
        <v/>
      </c>
    </row>
    <row r="151">
      <c r="A151" t="n">
        <v>11</v>
      </c>
      <c r="B151" t="n">
        <v>166</v>
      </c>
      <c r="C151" t="n">
        <v>10</v>
      </c>
      <c r="D151" t="n">
        <v>30000000</v>
      </c>
      <c r="F151" t="n">
        <v>30000000</v>
      </c>
      <c r="H151" t="n">
        <v>30000000</v>
      </c>
      <c r="L151">
        <f>VLOOKUP(B152,players!A:B,2)</f>
        <v/>
      </c>
    </row>
    <row r="152">
      <c r="A152" t="n">
        <v>11</v>
      </c>
      <c r="B152" t="n">
        <v>248</v>
      </c>
      <c r="C152" t="n">
        <v>11</v>
      </c>
      <c r="D152" t="n">
        <v>1000000</v>
      </c>
      <c r="L152">
        <f>VLOOKUP(B153,players!A:B,2)</f>
        <v/>
      </c>
    </row>
    <row r="153">
      <c r="A153" t="n">
        <v>11</v>
      </c>
      <c r="B153" t="n">
        <v>109</v>
      </c>
      <c r="C153" t="n">
        <v>12</v>
      </c>
      <c r="L153">
        <f>VLOOKUP(B154,players!A:B,2)</f>
        <v/>
      </c>
    </row>
    <row r="154">
      <c r="A154" t="n">
        <v>11</v>
      </c>
      <c r="B154" t="n">
        <v>266</v>
      </c>
      <c r="C154" t="n">
        <v>13</v>
      </c>
      <c r="L154">
        <f>VLOOKUP(B155,players!A:B,2)</f>
        <v/>
      </c>
    </row>
    <row r="155">
      <c r="A155" t="n">
        <v>11</v>
      </c>
      <c r="B155" t="n">
        <v>195</v>
      </c>
      <c r="C155" t="n">
        <v>14</v>
      </c>
      <c r="L155">
        <f>VLOOKUP(B156,players!A:B,2)</f>
        <v/>
      </c>
    </row>
    <row r="156">
      <c r="A156" t="n">
        <v>11</v>
      </c>
      <c r="B156" t="n">
        <v>436</v>
      </c>
      <c r="C156" t="n">
        <v>15</v>
      </c>
      <c r="D156" t="n">
        <v>1000000</v>
      </c>
      <c r="F156" t="n">
        <v>1000000</v>
      </c>
      <c r="H156" t="n">
        <v>1000000</v>
      </c>
      <c r="I156" t="inlineStr">
        <is>
          <t>Sim</t>
        </is>
      </c>
      <c r="J156" t="n">
        <v>1000000</v>
      </c>
      <c r="K156" t="inlineStr">
        <is>
          <t>Sim</t>
        </is>
      </c>
      <c r="L156">
        <f>VLOOKUP(B157,players!A:B,2)</f>
        <v/>
      </c>
    </row>
    <row r="157">
      <c r="A157" t="n">
        <v>12</v>
      </c>
      <c r="B157" t="n">
        <v>403</v>
      </c>
      <c r="C157" t="n">
        <v>1</v>
      </c>
      <c r="D157" t="n">
        <v>5000000</v>
      </c>
      <c r="F157" t="n">
        <v>5000000</v>
      </c>
      <c r="L157">
        <f>VLOOKUP(B158,players!A:B,2)</f>
        <v/>
      </c>
    </row>
    <row r="158">
      <c r="A158" t="n">
        <v>12</v>
      </c>
      <c r="B158" t="n">
        <v>345</v>
      </c>
      <c r="C158" t="n">
        <v>2</v>
      </c>
      <c r="D158" t="n">
        <v>3500000</v>
      </c>
      <c r="F158" t="n">
        <v>3500000</v>
      </c>
      <c r="L158">
        <f>VLOOKUP(B159,players!A:B,2)</f>
        <v/>
      </c>
    </row>
    <row r="159">
      <c r="A159" t="n">
        <v>12</v>
      </c>
      <c r="B159" t="n">
        <v>120</v>
      </c>
      <c r="C159" t="n">
        <v>3</v>
      </c>
      <c r="D159" t="n">
        <v>1000000</v>
      </c>
      <c r="L159">
        <f>VLOOKUP(B160,players!A:B,2)</f>
        <v/>
      </c>
    </row>
    <row r="160">
      <c r="A160" t="n">
        <v>12</v>
      </c>
      <c r="B160" t="n">
        <v>22</v>
      </c>
      <c r="C160" t="n">
        <v>4</v>
      </c>
      <c r="L160">
        <f>VLOOKUP(B161,players!A:B,2)</f>
        <v/>
      </c>
    </row>
    <row r="161">
      <c r="A161" t="n">
        <v>12</v>
      </c>
      <c r="B161" t="n">
        <v>54</v>
      </c>
      <c r="C161" t="n">
        <v>5</v>
      </c>
      <c r="D161" t="n">
        <v>11000000</v>
      </c>
      <c r="L161">
        <f>VLOOKUP(B162,players!A:B,2)</f>
        <v/>
      </c>
    </row>
    <row r="162">
      <c r="A162" t="n">
        <v>12</v>
      </c>
      <c r="B162" t="n">
        <v>194</v>
      </c>
      <c r="C162" t="n">
        <v>6</v>
      </c>
      <c r="D162" t="n">
        <v>20000000</v>
      </c>
      <c r="F162" t="n">
        <v>20000000</v>
      </c>
      <c r="L162">
        <f>VLOOKUP(B163,players!A:B,2)</f>
        <v/>
      </c>
    </row>
    <row r="163">
      <c r="A163" t="n">
        <v>12</v>
      </c>
      <c r="B163" t="n">
        <v>226</v>
      </c>
      <c r="C163" t="n">
        <v>7</v>
      </c>
      <c r="D163" t="n">
        <v>18000000</v>
      </c>
      <c r="F163" t="n">
        <v>18000000</v>
      </c>
      <c r="H163" t="n">
        <v>18000000</v>
      </c>
      <c r="L163">
        <f>VLOOKUP(B164,players!A:B,2)</f>
        <v/>
      </c>
    </row>
    <row r="164">
      <c r="A164" t="n">
        <v>12</v>
      </c>
      <c r="B164" t="n">
        <v>115</v>
      </c>
      <c r="C164" t="n">
        <v>8</v>
      </c>
      <c r="D164" t="n">
        <v>2500000</v>
      </c>
      <c r="L164">
        <f>VLOOKUP(B165,players!A:B,2)</f>
        <v/>
      </c>
    </row>
    <row r="165">
      <c r="A165" t="n">
        <v>12</v>
      </c>
      <c r="B165" t="n">
        <v>417</v>
      </c>
      <c r="C165" t="n">
        <v>9</v>
      </c>
      <c r="D165" t="n">
        <v>9000000</v>
      </c>
      <c r="F165" t="n">
        <v>9500000</v>
      </c>
      <c r="H165" t="n">
        <v>10500000</v>
      </c>
      <c r="I165" t="inlineStr">
        <is>
          <t>Sim</t>
        </is>
      </c>
      <c r="J165" t="n">
        <v>11500000</v>
      </c>
      <c r="K165" t="inlineStr">
        <is>
          <t>Sim</t>
        </is>
      </c>
      <c r="L165">
        <f>VLOOKUP(B166,players!A:B,2)</f>
        <v/>
      </c>
    </row>
    <row r="166">
      <c r="A166" t="n">
        <v>12</v>
      </c>
      <c r="B166" t="n">
        <v>431</v>
      </c>
      <c r="C166" t="n">
        <v>10</v>
      </c>
      <c r="D166" t="n">
        <v>1000000</v>
      </c>
      <c r="F166" t="n">
        <v>1000000</v>
      </c>
      <c r="H166" t="n">
        <v>1000000</v>
      </c>
      <c r="I166" t="inlineStr">
        <is>
          <t>Sim</t>
        </is>
      </c>
      <c r="J166" t="n">
        <v>1000000</v>
      </c>
      <c r="K166" t="inlineStr">
        <is>
          <t>Sim</t>
        </is>
      </c>
      <c r="L166">
        <f>VLOOKUP(B167,players!A:B,2)</f>
        <v/>
      </c>
    </row>
    <row r="167">
      <c r="A167" t="n">
        <v>13</v>
      </c>
      <c r="B167" t="n">
        <v>307</v>
      </c>
      <c r="C167" t="n">
        <v>1</v>
      </c>
      <c r="D167" t="n">
        <v>1000000</v>
      </c>
      <c r="L167">
        <f>VLOOKUP(B168,players!A:B,2)</f>
        <v/>
      </c>
    </row>
    <row r="168">
      <c r="A168" t="n">
        <v>13</v>
      </c>
      <c r="B168" t="n">
        <v>363</v>
      </c>
      <c r="C168" t="n">
        <v>2</v>
      </c>
      <c r="L168">
        <f>VLOOKUP(B169,players!A:B,2)</f>
        <v/>
      </c>
    </row>
    <row r="169">
      <c r="A169" t="n">
        <v>13</v>
      </c>
      <c r="B169" t="n">
        <v>296</v>
      </c>
      <c r="C169" t="n">
        <v>3</v>
      </c>
      <c r="D169" t="n">
        <v>3000000</v>
      </c>
      <c r="L169">
        <f>VLOOKUP(B170,players!A:B,2)</f>
        <v/>
      </c>
    </row>
    <row r="170">
      <c r="A170" t="n">
        <v>13</v>
      </c>
      <c r="B170" t="n">
        <v>171</v>
      </c>
      <c r="C170" t="n">
        <v>4</v>
      </c>
      <c r="D170" t="n">
        <v>2000000</v>
      </c>
      <c r="L170">
        <f>VLOOKUP(B171,players!A:B,2)</f>
        <v/>
      </c>
    </row>
    <row r="171">
      <c r="A171" t="n">
        <v>13</v>
      </c>
      <c r="B171" t="n">
        <v>10</v>
      </c>
      <c r="C171" t="n">
        <v>5</v>
      </c>
      <c r="L171">
        <f>VLOOKUP(B172,players!A:B,2)</f>
        <v/>
      </c>
    </row>
    <row r="172">
      <c r="A172" t="n">
        <v>13</v>
      </c>
      <c r="B172" t="n">
        <v>46</v>
      </c>
      <c r="C172" t="n">
        <v>6</v>
      </c>
      <c r="L172">
        <f>VLOOKUP(B173,players!A:B,2)</f>
        <v/>
      </c>
    </row>
    <row r="173">
      <c r="A173" t="n">
        <v>13</v>
      </c>
      <c r="B173" t="n">
        <v>4</v>
      </c>
      <c r="C173" t="n">
        <v>7</v>
      </c>
      <c r="D173" t="n">
        <v>11500000</v>
      </c>
      <c r="L173">
        <f>VLOOKUP(B174,players!A:B,2)</f>
        <v/>
      </c>
    </row>
    <row r="174">
      <c r="A174" t="n">
        <v>13</v>
      </c>
      <c r="B174" t="n">
        <v>32</v>
      </c>
      <c r="C174" t="n">
        <v>8</v>
      </c>
      <c r="D174" t="n">
        <v>16000000</v>
      </c>
      <c r="F174" t="n">
        <v>16000000</v>
      </c>
      <c r="H174" t="n">
        <v>16000000</v>
      </c>
      <c r="L174">
        <f>VLOOKUP(B175,players!A:B,2)</f>
        <v/>
      </c>
    </row>
    <row r="175">
      <c r="A175" t="n">
        <v>13</v>
      </c>
      <c r="B175" t="n">
        <v>55</v>
      </c>
      <c r="C175" t="n">
        <v>9</v>
      </c>
      <c r="D175" t="n">
        <v>12000000</v>
      </c>
      <c r="F175" t="n">
        <v>12000000</v>
      </c>
      <c r="H175" t="n">
        <v>12000000</v>
      </c>
      <c r="L175">
        <f>VLOOKUP(B176,players!A:B,2)</f>
        <v/>
      </c>
    </row>
    <row r="176">
      <c r="A176" t="n">
        <v>13</v>
      </c>
      <c r="B176" t="n">
        <v>66</v>
      </c>
      <c r="C176" t="n">
        <v>10</v>
      </c>
      <c r="D176" t="n">
        <v>19000000</v>
      </c>
      <c r="L176">
        <f>VLOOKUP(B177,players!A:B,2)</f>
        <v/>
      </c>
    </row>
    <row r="177">
      <c r="A177" t="n">
        <v>13</v>
      </c>
      <c r="B177" t="n">
        <v>150</v>
      </c>
      <c r="C177" t="n">
        <v>11</v>
      </c>
      <c r="D177" t="n">
        <v>6000000</v>
      </c>
      <c r="F177" t="n">
        <v>6000000</v>
      </c>
      <c r="H177" t="n">
        <v>6000000</v>
      </c>
      <c r="L177">
        <f>VLOOKUP(B178,players!A:B,2)</f>
        <v/>
      </c>
    </row>
    <row r="178">
      <c r="A178" t="n">
        <v>13</v>
      </c>
      <c r="B178" t="n">
        <v>430</v>
      </c>
      <c r="C178" t="n">
        <v>13</v>
      </c>
      <c r="D178" t="n">
        <v>2600000</v>
      </c>
      <c r="F178" t="n">
        <v>2800000</v>
      </c>
      <c r="H178" t="n">
        <v>3000000</v>
      </c>
      <c r="I178" t="inlineStr">
        <is>
          <t>Sim</t>
        </is>
      </c>
      <c r="J178" t="n">
        <v>3300000</v>
      </c>
      <c r="K178" t="inlineStr">
        <is>
          <t>Sim</t>
        </is>
      </c>
      <c r="L178">
        <f>VLOOKUP(B179,players!A:B,2)</f>
        <v/>
      </c>
    </row>
    <row r="179">
      <c r="A179" t="n">
        <v>14</v>
      </c>
      <c r="B179" t="n">
        <v>317</v>
      </c>
      <c r="C179" t="n">
        <v>1</v>
      </c>
      <c r="L179">
        <f>VLOOKUP(B180,players!A:B,2)</f>
        <v/>
      </c>
    </row>
    <row r="180">
      <c r="A180" t="n">
        <v>14</v>
      </c>
      <c r="B180" t="n">
        <v>299</v>
      </c>
      <c r="C180" t="n">
        <v>2</v>
      </c>
      <c r="L180">
        <f>VLOOKUP(B181,players!A:B,2)</f>
        <v/>
      </c>
    </row>
    <row r="181">
      <c r="A181" t="n">
        <v>14</v>
      </c>
      <c r="B181" t="n">
        <v>129</v>
      </c>
      <c r="C181" t="n">
        <v>3</v>
      </c>
      <c r="L181">
        <f>VLOOKUP(B182,players!A:B,2)</f>
        <v/>
      </c>
    </row>
    <row r="182">
      <c r="A182" t="n">
        <v>14</v>
      </c>
      <c r="B182" t="n">
        <v>90</v>
      </c>
      <c r="C182" t="n">
        <v>4</v>
      </c>
      <c r="L182">
        <f>VLOOKUP(B183,players!A:B,2)</f>
        <v/>
      </c>
    </row>
    <row r="183">
      <c r="A183" t="n">
        <v>14</v>
      </c>
      <c r="B183" t="n">
        <v>24</v>
      </c>
      <c r="C183" t="n">
        <v>5</v>
      </c>
      <c r="D183" t="n">
        <v>1000000</v>
      </c>
      <c r="L183">
        <f>VLOOKUP(B184,players!A:B,2)</f>
        <v/>
      </c>
    </row>
    <row r="184">
      <c r="A184" t="n">
        <v>14</v>
      </c>
      <c r="B184" t="n">
        <v>238</v>
      </c>
      <c r="C184" t="n">
        <v>6</v>
      </c>
      <c r="D184" t="n">
        <v>3000000</v>
      </c>
      <c r="L184">
        <f>VLOOKUP(B185,players!A:B,2)</f>
        <v/>
      </c>
    </row>
    <row r="185">
      <c r="A185" t="n">
        <v>14</v>
      </c>
      <c r="B185" t="n">
        <v>19</v>
      </c>
      <c r="C185" t="n">
        <v>7</v>
      </c>
      <c r="D185" t="n">
        <v>20500000</v>
      </c>
      <c r="F185" t="n">
        <v>20500000</v>
      </c>
      <c r="H185" t="n">
        <v>20500000</v>
      </c>
      <c r="L185">
        <f>VLOOKUP(B186,players!A:B,2)</f>
        <v/>
      </c>
    </row>
    <row r="186">
      <c r="A186" t="n">
        <v>14</v>
      </c>
      <c r="B186" t="n">
        <v>73</v>
      </c>
      <c r="C186" t="n">
        <v>8</v>
      </c>
      <c r="D186" t="n">
        <v>19500000</v>
      </c>
      <c r="L186">
        <f>VLOOKUP(B187,players!A:B,2)</f>
        <v/>
      </c>
    </row>
    <row r="187">
      <c r="A187" t="n">
        <v>14</v>
      </c>
      <c r="B187" t="n">
        <v>61</v>
      </c>
      <c r="C187" t="n">
        <v>9</v>
      </c>
      <c r="D187" t="n">
        <v>9500000</v>
      </c>
      <c r="F187" t="n">
        <v>10500000</v>
      </c>
      <c r="G187" t="inlineStr">
        <is>
          <t>Sim</t>
        </is>
      </c>
      <c r="H187" t="n">
        <v>11500000</v>
      </c>
      <c r="I187" t="inlineStr">
        <is>
          <t>Sim</t>
        </is>
      </c>
      <c r="L187">
        <f>VLOOKUP(B188,players!A:B,2)</f>
        <v/>
      </c>
    </row>
    <row r="188">
      <c r="A188" t="n">
        <v>14</v>
      </c>
      <c r="B188" t="n">
        <v>2</v>
      </c>
      <c r="C188" t="n">
        <v>10</v>
      </c>
      <c r="L188">
        <f>VLOOKUP(B189,players!A:B,2)</f>
        <v/>
      </c>
    </row>
    <row r="189">
      <c r="A189" t="n">
        <v>14</v>
      </c>
      <c r="B189" t="n">
        <v>220</v>
      </c>
      <c r="C189" t="n">
        <v>11</v>
      </c>
      <c r="L189">
        <f>VLOOKUP(B190,players!A:B,2)</f>
        <v/>
      </c>
    </row>
    <row r="190">
      <c r="A190" t="n">
        <v>14</v>
      </c>
      <c r="B190" t="n">
        <v>145</v>
      </c>
      <c r="C190" t="n">
        <v>12</v>
      </c>
      <c r="D190" t="n">
        <v>20000000</v>
      </c>
      <c r="F190" t="n">
        <v>20000000</v>
      </c>
      <c r="H190" t="n">
        <v>20000000</v>
      </c>
      <c r="L190">
        <f>VLOOKUP(B191,players!A:B,2)</f>
        <v/>
      </c>
    </row>
    <row r="191">
      <c r="A191" t="n">
        <v>14</v>
      </c>
      <c r="B191" t="n">
        <v>273</v>
      </c>
      <c r="C191" t="n">
        <v>13</v>
      </c>
      <c r="D191" t="n">
        <v>3200000</v>
      </c>
      <c r="F191" t="n">
        <v>3500000</v>
      </c>
      <c r="L191">
        <f>VLOOKUP(B192,players!A:B,2)</f>
        <v/>
      </c>
    </row>
    <row r="192">
      <c r="A192" t="n">
        <v>13</v>
      </c>
      <c r="B192" t="n">
        <v>426</v>
      </c>
      <c r="C192" t="n">
        <v>14</v>
      </c>
      <c r="D192" t="n">
        <v>3400000</v>
      </c>
      <c r="F192" t="n">
        <v>3600000</v>
      </c>
      <c r="H192" t="n">
        <v>3800000</v>
      </c>
      <c r="I192" t="inlineStr">
        <is>
          <t>Sim</t>
        </is>
      </c>
      <c r="J192" t="n">
        <v>4100000</v>
      </c>
      <c r="K192" t="inlineStr">
        <is>
          <t>Sim</t>
        </is>
      </c>
      <c r="L192">
        <f>VLOOKUP(B193,players!A:B,2)</f>
        <v/>
      </c>
    </row>
    <row r="193">
      <c r="A193" t="n">
        <v>7</v>
      </c>
      <c r="B193" t="n">
        <v>434</v>
      </c>
      <c r="C193" t="n">
        <v>15</v>
      </c>
      <c r="D193" t="n">
        <v>1000000</v>
      </c>
      <c r="F193" t="n">
        <v>1000000</v>
      </c>
      <c r="H193" t="n">
        <v>1000000</v>
      </c>
      <c r="I193" t="inlineStr">
        <is>
          <t>Sim</t>
        </is>
      </c>
      <c r="J193" t="n">
        <v>1000000</v>
      </c>
      <c r="K193" t="inlineStr">
        <is>
          <t>Sim</t>
        </is>
      </c>
      <c r="L193">
        <f>VLOOKUP(B16,players!A:B,2)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13</v>
      </c>
      <c r="B31" t="n">
        <v>241</v>
      </c>
      <c r="C31" t="n">
        <v>3</v>
      </c>
      <c r="D31" t="n">
        <v>8500000</v>
      </c>
      <c r="F31" t="n">
        <v>9250000</v>
      </c>
      <c r="G31" t="inlineStr">
        <is>
          <t>Sim</t>
        </is>
      </c>
      <c r="H31" t="n">
        <v>10000000</v>
      </c>
      <c r="I31" t="inlineStr">
        <is>
          <t>Sim</t>
        </is>
      </c>
      <c r="L31">
        <f>VLOOKUP(B31,players!A:B,2)</f>
        <v/>
      </c>
    </row>
    <row r="32">
      <c r="A32" t="n">
        <v>14</v>
      </c>
      <c r="B32" t="n">
        <v>259</v>
      </c>
      <c r="C32" t="n">
        <v>1</v>
      </c>
      <c r="D32" t="n">
        <v>1000000</v>
      </c>
      <c r="L32">
        <f>VLOOKUP(B32,players!A:B,2)</f>
        <v/>
      </c>
    </row>
    <row r="33">
      <c r="A33" t="n">
        <v>14</v>
      </c>
      <c r="B33" t="n">
        <v>415</v>
      </c>
      <c r="C33" t="n">
        <v>2</v>
      </c>
      <c r="D33" t="n">
        <v>3800000</v>
      </c>
      <c r="F33" t="n">
        <v>4000000</v>
      </c>
      <c r="G33" t="inlineStr">
        <is>
          <t>Sim</t>
        </is>
      </c>
      <c r="H33" t="n">
        <v>4200000</v>
      </c>
      <c r="I33" t="inlineStr">
        <is>
          <t>Sim</t>
        </is>
      </c>
      <c r="L33">
        <f>VLOOKUP(B33,players!A:B,2)</f>
        <v/>
      </c>
    </row>
    <row r="34">
      <c r="A34" t="n">
        <v>7</v>
      </c>
      <c r="B34" t="n">
        <v>421</v>
      </c>
      <c r="C34" t="n">
        <v>3</v>
      </c>
      <c r="D34" t="n">
        <v>5000000</v>
      </c>
      <c r="F34" t="n">
        <v>5500000</v>
      </c>
      <c r="H34" t="n">
        <v>6000000</v>
      </c>
      <c r="I34" t="inlineStr">
        <is>
          <t>Sim</t>
        </is>
      </c>
      <c r="J34" t="n">
        <v>6500000</v>
      </c>
      <c r="K34" t="inlineStr">
        <is>
          <t>Sim</t>
        </is>
      </c>
      <c r="L34">
        <f>VLOOKUP(B34,players!A:B,2)</f>
        <v/>
      </c>
    </row>
    <row r="35">
      <c r="A35" t="n">
        <v>7</v>
      </c>
      <c r="B35" t="n">
        <v>435</v>
      </c>
      <c r="C35" t="n">
        <v>4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VLOOKUP(B35,players!A:B,2)</f>
        <v/>
      </c>
    </row>
    <row r="36">
      <c r="A36" t="n">
        <v>7</v>
      </c>
      <c r="B36" t="n">
        <v>437</v>
      </c>
      <c r="C36" t="n">
        <v>5</v>
      </c>
      <c r="D36" t="n">
        <v>1000000</v>
      </c>
      <c r="F36" t="n">
        <v>1000000</v>
      </c>
      <c r="H36" t="n">
        <v>1000000</v>
      </c>
      <c r="I36" t="inlineStr">
        <is>
          <t>Sim</t>
        </is>
      </c>
      <c r="J36" t="n">
        <v>1000000</v>
      </c>
      <c r="K36" t="inlineStr">
        <is>
          <t>Sim</t>
        </is>
      </c>
      <c r="L36">
        <f>VLOOKUP(B36,players!A:B,2)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13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2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13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2026-07-16T21:05:28Z</dcterms:modified>
  <cp:lastModifiedBy>Filipe Brito</cp:lastModifiedBy>
</cp:coreProperties>
</file>