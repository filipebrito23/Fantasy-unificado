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181" documentId="11_1E8727D0025DE2D9980AC087651940E765748321" xr6:coauthVersionLast="47" xr6:coauthVersionMax="47" xr10:uidLastSave="{C12685E8-B973-4173-A715-599684A8B498}"/>
  <bookViews>
    <workbookView xWindow="-120" yWindow="-120" windowWidth="29040" windowHeight="1572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" i="9" l="1"/>
  <c r="L199" i="9"/>
  <c r="L198" i="9"/>
  <c r="L85" i="9"/>
  <c r="L197" i="9"/>
  <c r="L196" i="9"/>
  <c r="L195" i="9"/>
  <c r="L194" i="9"/>
  <c r="L193" i="9"/>
  <c r="L192" i="9"/>
  <c r="L191" i="9"/>
  <c r="L1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<sst xmlns="http://schemas.openxmlformats.org/spreadsheetml/2006/main" count="13370" uniqueCount="794">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</sst>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269" workbookViewId="0">
      <selection activeCell="B295" sqref="B295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tabSelected="1" topLeftCell="A167" workbookViewId="0">
      <selection activeCell="D174" sqref="D174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VLOOKUP(B15,players!A:B,2)</f>
        <v>Bogdan Bogdanović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VLOOKUP(B16,players!A:B,2)</f>
        <v>Ace Bailey</v>
      </c>
    </row>
    <row r="17" spans="1:12" x14ac:dyDescent="0.25">
      <c r="A17">
        <v>3</v>
      </c>
      <c r="B17">
        <v>146</v>
      </c>
      <c r="C17">
        <v>4</v>
      </c>
      <c r="D17">
        <v>1000000</v>
      </c>
      <c r="F17">
        <v>1000000</v>
      </c>
      <c r="L17" t="str">
        <f>VLOOKUP(B17,players!A:B,2)</f>
        <v>Andrew Wiggins</v>
      </c>
    </row>
    <row r="18" spans="1:12" x14ac:dyDescent="0.25">
      <c r="A18">
        <v>1</v>
      </c>
      <c r="B18">
        <v>180</v>
      </c>
      <c r="C18">
        <v>5</v>
      </c>
      <c r="L18" t="str">
        <f>VLOOKUP(B18,players!A:B,2)</f>
        <v>Noah Clowney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VLOOKUP(B19,players!A:B,2)</f>
        <v>Asa Newell</v>
      </c>
    </row>
    <row r="20" spans="1:12" x14ac:dyDescent="0.25">
      <c r="A20">
        <v>1</v>
      </c>
      <c r="B20">
        <v>39</v>
      </c>
      <c r="C20">
        <v>7</v>
      </c>
      <c r="L20" t="str">
        <f>VLOOKUP(B20,players!A:B,2)</f>
        <v>Onyeka Okongwu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VLOOKUP(B21,players!A:B,2)</f>
        <v>Matas Buzelis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VLOOKUP(B22,players!A:B,2)</f>
        <v>Anthony Edwards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VLOOKUP(B23,players!A:B,2)</f>
        <v>Tyrese Maxey</v>
      </c>
    </row>
    <row r="24" spans="1:12" x14ac:dyDescent="0.25">
      <c r="A24">
        <v>1</v>
      </c>
      <c r="B24">
        <v>187</v>
      </c>
      <c r="C24">
        <v>13</v>
      </c>
      <c r="L24" t="str">
        <f>VLOOKUP(B24,players!A:B,2)</f>
        <v>Jay Huff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VLOOKUP(B25,players!A:B,2)</f>
        <v>Dailyn Swain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VLOOKUP(B26,players!A:B,2)</f>
        <v>Karim López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VLOOKUP(B27,players!A:B,2)</f>
        <v>Hannes Steinbach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VLOOKUP(B28,players!A:B,2)</f>
        <v>Keaton Wagler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VLOOKUP(B38,players!A:B,2)</f>
        <v>Derik Queen</v>
      </c>
    </row>
    <row r="39" spans="1:12" x14ac:dyDescent="0.25">
      <c r="A39">
        <v>8</v>
      </c>
      <c r="B39">
        <v>237</v>
      </c>
      <c r="C39">
        <v>2</v>
      </c>
      <c r="D39">
        <v>4000000</v>
      </c>
      <c r="F39">
        <v>4000000</v>
      </c>
      <c r="L39" t="str">
        <f>VLOOKUP(B39,players!A:B,2)</f>
        <v>Nickeil Alexander-Walker</v>
      </c>
    </row>
    <row r="40" spans="1:12" x14ac:dyDescent="0.25">
      <c r="A40">
        <v>5</v>
      </c>
      <c r="B40">
        <v>119</v>
      </c>
      <c r="C40">
        <v>3</v>
      </c>
      <c r="D40">
        <v>5000000</v>
      </c>
      <c r="F40">
        <v>5000000</v>
      </c>
      <c r="H40">
        <v>5000000</v>
      </c>
      <c r="J40">
        <v>5000000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VLOOKUP(B50,players!A:B,2)</f>
        <v>Nolan Traoré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VLOOKUP(B51,players!A:B,2)</f>
        <v>Jared McCain</v>
      </c>
    </row>
    <row r="52" spans="1:12" x14ac:dyDescent="0.25">
      <c r="A52">
        <v>11</v>
      </c>
      <c r="B52">
        <v>104</v>
      </c>
      <c r="C52">
        <v>3</v>
      </c>
      <c r="D52">
        <v>1000000</v>
      </c>
      <c r="F52">
        <v>1000000</v>
      </c>
      <c r="L52" t="str">
        <f>VLOOKUP(B52,players!A:B,2)</f>
        <v>Keldon Johnson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VLOOKUP(B53,players!A:B,2)</f>
        <v>Santi Aldama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VLOOKUP(B54,players!A:B,2)</f>
        <v>Deandre Ayton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VLOOKUP(B55,players!A:B,2)</f>
        <v>Nic Claxton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VLOOKUP(B56,players!A:B,2)</f>
        <v>Bam Adebayo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VLOOKUP(B57,players!A:B,2)</f>
        <v>Jaylen Brown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VLOOKUP(B58,players!A:B,2)</f>
        <v>Stephon Castle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VLOOKUP(B59,players!A:B,2)</f>
        <v>Franz Wagner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VLOOKUP(B60,players!A:B,2)</f>
        <v>Donovan Mitchell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VLOOKUP(B61,players!A:B,2)</f>
        <v>DeMar DeRozan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VLOOKUP(B62,players!A:B,2)</f>
        <v>Kingston Flemings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VLOOKUP(B63,players!A:B,2)</f>
        <v>Henry Veesaar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D66">
        <v>1000000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D73">
        <v>1000000</v>
      </c>
      <c r="F73">
        <v>1000000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D74">
        <v>15500000</v>
      </c>
      <c r="F74">
        <v>15500000</v>
      </c>
      <c r="H74">
        <v>15500000</v>
      </c>
      <c r="J74">
        <v>15500000</v>
      </c>
      <c r="L74" t="str">
        <f>VLOOKUP(B74,players!A:B,2)</f>
        <v>Michael Porter Jr.</v>
      </c>
    </row>
    <row r="75" spans="1:12" x14ac:dyDescent="0.25">
      <c r="A75">
        <v>5</v>
      </c>
      <c r="B75">
        <v>152</v>
      </c>
      <c r="C75">
        <v>12</v>
      </c>
      <c r="D75">
        <v>2000000</v>
      </c>
      <c r="L75" t="str">
        <f>VLOOKUP(B75,players!A:B,2)</f>
        <v>Ryan Rollins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VLOOKUP(B76,players!A:B,2)</f>
        <v>Caleb Wilson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VLOOKUP(B77,players!A:B,2)</f>
        <v>Yaxel Lendeborg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D81">
        <v>1000000</v>
      </c>
      <c r="F81">
        <v>1000000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D82">
        <v>1000000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D83">
        <v>3000000</v>
      </c>
      <c r="F83">
        <v>3000000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D90">
        <v>6500000</v>
      </c>
      <c r="F90">
        <v>6500000</v>
      </c>
      <c r="L90" t="str">
        <f>VLOOKUP(B90,players!A:B,2)</f>
        <v>Damian Lillard</v>
      </c>
    </row>
    <row r="91" spans="1:12" x14ac:dyDescent="0.25">
      <c r="A91">
        <v>5</v>
      </c>
      <c r="B91">
        <v>71</v>
      </c>
      <c r="C91">
        <v>15</v>
      </c>
      <c r="D91">
        <v>1000000</v>
      </c>
      <c r="F91">
        <v>1000000</v>
      </c>
      <c r="L91" t="str">
        <f>VLOOKUP(B91,players!A:B,2)</f>
        <v>Tari Eason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VLOOKUP(B92,players!A:B,2)</f>
        <v>Darryn Peterson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D94">
        <v>1000000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7</v>
      </c>
      <c r="B105">
        <v>59</v>
      </c>
      <c r="C105">
        <v>13</v>
      </c>
      <c r="D105">
        <v>16500000</v>
      </c>
      <c r="F105">
        <v>16500000</v>
      </c>
      <c r="H105">
        <v>16500000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VLOOKUP(B107,players!A:B,2)</f>
        <v>Aday Mara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VLOOKUP(B108,players!A:B,2)</f>
        <v>Bennett Stirtz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VLOOKUP(B109,players!A:B,2)</f>
        <v>Chris Cenac Jr.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7</v>
      </c>
      <c r="B111">
        <v>240</v>
      </c>
      <c r="C111">
        <v>2</v>
      </c>
      <c r="D111">
        <v>1000000</v>
      </c>
      <c r="F111">
        <v>1000000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VLOOKUP(B122,players!A:B,2)</f>
        <v>Ebuka Okorie</v>
      </c>
    </row>
    <row r="123" spans="1:12" x14ac:dyDescent="0.25">
      <c r="A123">
        <v>10</v>
      </c>
      <c r="B123">
        <v>9</v>
      </c>
      <c r="C123">
        <v>1</v>
      </c>
      <c r="D123">
        <v>12000000</v>
      </c>
      <c r="F123">
        <v>12000000</v>
      </c>
      <c r="H123">
        <v>12000000</v>
      </c>
      <c r="J123">
        <v>12000000</v>
      </c>
      <c r="L123" t="str">
        <f>VLOOKUP(B123,players!A:B,2)</f>
        <v>Walker Kessler</v>
      </c>
    </row>
    <row r="124" spans="1:12" x14ac:dyDescent="0.25">
      <c r="A124">
        <v>10</v>
      </c>
      <c r="B124">
        <v>373</v>
      </c>
      <c r="C124">
        <v>2</v>
      </c>
      <c r="L124" t="str">
        <f>VLOOKUP(B124,players!A:B,2)</f>
        <v>Malik Monk</v>
      </c>
    </row>
    <row r="125" spans="1:12" x14ac:dyDescent="0.25">
      <c r="A125">
        <v>10</v>
      </c>
      <c r="B125">
        <v>249</v>
      </c>
      <c r="C125">
        <v>3</v>
      </c>
      <c r="L125" t="str">
        <f>VLOOKUP(B125,players!A:B,2)</f>
        <v>Ajay Mitchell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VLOOKUP(B126,players!A:B,2)</f>
        <v>Bilal Coulibaly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VLOOKUP(B127,players!A:B,2)</f>
        <v>Mark Williams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VLOOKUP(B128,players!A:B,2)</f>
        <v>GG Jackson II</v>
      </c>
    </row>
    <row r="129" spans="1:12" x14ac:dyDescent="0.25">
      <c r="A129">
        <v>10</v>
      </c>
      <c r="B129">
        <v>28</v>
      </c>
      <c r="C129">
        <v>7</v>
      </c>
      <c r="D129">
        <v>1000000</v>
      </c>
      <c r="L129" t="str">
        <f>VLOOKUP(B129,players!A:B,2)</f>
        <v>Nikola Vučević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VLOOKUP(B130,players!A:B,2)</f>
        <v>Alex Sarr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VLOOKUP(B131,players!A:B,2)</f>
        <v>Julius Randle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VLOOKUP(B132,players!A:B,2)</f>
        <v>Jalen Williams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VLOOKUP(B133,players!A:B,2)</f>
        <v>Jamal Murray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VLOOKUP(B134,players!A:B,2)</f>
        <v>Jalen Brunson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VLOOKUP(B135,players!A:B,2)</f>
        <v>Zuby Ejiofor</v>
      </c>
    </row>
    <row r="136" spans="1:12" x14ac:dyDescent="0.25">
      <c r="A136">
        <v>11</v>
      </c>
      <c r="B136">
        <v>327</v>
      </c>
      <c r="C136">
        <v>1</v>
      </c>
      <c r="L136" t="str">
        <f>VLOOKUP(B136,players!A:B,2)</f>
        <v>Cole Anthony</v>
      </c>
    </row>
    <row r="137" spans="1:12" x14ac:dyDescent="0.25">
      <c r="A137">
        <v>11</v>
      </c>
      <c r="B137">
        <v>213</v>
      </c>
      <c r="C137">
        <v>2</v>
      </c>
      <c r="L137" t="str">
        <f>VLOOKUP(B137,players!A:B,2)</f>
        <v>Khris Middleton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VLOOKUP(B138,players!A:B,2)</f>
        <v>John Collins</v>
      </c>
    </row>
    <row r="139" spans="1:12" x14ac:dyDescent="0.25">
      <c r="A139">
        <v>11</v>
      </c>
      <c r="B139">
        <v>58</v>
      </c>
      <c r="C139">
        <v>4</v>
      </c>
      <c r="L139" t="str">
        <f>VLOOKUP(B139,players!A:B,2)</f>
        <v>Daniel Gafford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VLOOKUP(B140,players!A:B,2)</f>
        <v>Isaiah Hartenstein</v>
      </c>
    </row>
    <row r="141" spans="1:12" x14ac:dyDescent="0.25">
      <c r="A141">
        <v>11</v>
      </c>
      <c r="B141">
        <v>63</v>
      </c>
      <c r="C141">
        <v>6</v>
      </c>
      <c r="L141" t="str">
        <f>VLOOKUP(B141,players!A:B,2)</f>
        <v>Jalen Smith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VLOOKUP(B142,players!A:B,2)</f>
        <v>Domantas Sabonis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VLOOKUP(B143,players!A:B,2)</f>
        <v>Desmond Bane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VLOOKUP(B144,players!A:B,2)</f>
        <v>Amen Thompson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VLOOKUP(B145,players!A:B,2)</f>
        <v>Shai Gilgeous-Alexander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VLOOKUP(B146,players!A:B,2)</f>
        <v>CJ McCollum</v>
      </c>
    </row>
    <row r="147" spans="1:12" x14ac:dyDescent="0.25">
      <c r="A147">
        <v>6</v>
      </c>
      <c r="B147">
        <v>109</v>
      </c>
      <c r="C147">
        <v>12</v>
      </c>
      <c r="D147">
        <v>7000000</v>
      </c>
      <c r="F147">
        <v>7000000</v>
      </c>
      <c r="L147" t="str">
        <f>VLOOKUP(B147,players!A:B,2)</f>
        <v>Paul George</v>
      </c>
    </row>
    <row r="148" spans="1:12" x14ac:dyDescent="0.25">
      <c r="A148">
        <v>11</v>
      </c>
      <c r="B148">
        <v>266</v>
      </c>
      <c r="C148">
        <v>13</v>
      </c>
      <c r="L148" t="str">
        <f>VLOOKUP(B148,players!A:B,2)</f>
        <v>Moritz Wagner</v>
      </c>
    </row>
    <row r="149" spans="1:12" x14ac:dyDescent="0.25">
      <c r="A149">
        <v>6</v>
      </c>
      <c r="B149">
        <v>195</v>
      </c>
      <c r="C149">
        <v>14</v>
      </c>
      <c r="D149">
        <v>6000000</v>
      </c>
      <c r="F149">
        <v>6000000</v>
      </c>
      <c r="H149">
        <v>6000000</v>
      </c>
      <c r="J149">
        <v>6000000</v>
      </c>
      <c r="L149" t="str">
        <f>VLOOKUP(B149,players!A:B,2)</f>
        <v>Payton Pritchard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VLOOKUP(B150,players!A:B,2)</f>
        <v>Meleek Thomas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D154">
        <v>15000000</v>
      </c>
      <c r="F154">
        <v>15000000</v>
      </c>
      <c r="H154">
        <v>15000000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VLOOKUP(B159,players!A:B,2)</f>
        <v>A.J. Dybantsa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VLOOKUP(B160,players!A:B,2)</f>
        <v>Nate Ament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VLOOKUP(B161,players!A:B,2)</f>
        <v>Davion Mitchell</v>
      </c>
    </row>
    <row r="162" spans="1:12" x14ac:dyDescent="0.25">
      <c r="A162">
        <v>14</v>
      </c>
      <c r="B162">
        <v>363</v>
      </c>
      <c r="C162">
        <v>2</v>
      </c>
      <c r="D162">
        <v>1000000</v>
      </c>
      <c r="F162">
        <v>1000000</v>
      </c>
      <c r="L162" t="str">
        <f>VLOOKUP(B162,players!A:B,2)</f>
        <v>Jordan Poole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VLOOKUP(B163,players!A:B,2)</f>
        <v>Andrew Nembhard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VLOOKUP(B164,players!A:B,2)</f>
        <v>Aaron Nesmith</v>
      </c>
    </row>
    <row r="165" spans="1:12" x14ac:dyDescent="0.25">
      <c r="A165">
        <v>13</v>
      </c>
      <c r="B165">
        <v>10</v>
      </c>
      <c r="C165">
        <v>5</v>
      </c>
      <c r="L165" t="str">
        <f>VLOOKUP(B165,players!A:B,2)</f>
        <v>Ivica Zubac</v>
      </c>
    </row>
    <row r="166" spans="1:12" x14ac:dyDescent="0.25">
      <c r="A166">
        <v>11</v>
      </c>
      <c r="B166">
        <v>46</v>
      </c>
      <c r="C166">
        <v>6</v>
      </c>
      <c r="D166">
        <v>1000000</v>
      </c>
      <c r="F166">
        <v>1000000</v>
      </c>
      <c r="L166" t="str">
        <f>VLOOKUP(B166,players!A:B,2)</f>
        <v>Wendell Carter Jr.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VLOOKUP(B167,players!A:B,2)</f>
        <v>Victor Wembanyama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VLOOKUP(B168,players!A:B,2)</f>
        <v>Josh Giddey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VLOOKUP(B169,players!A:B,2)</f>
        <v>Deni Avdija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VLOOKUP(B170,players!A:B,2)</f>
        <v>Pascal Siakam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VLOOKUP(B171,players!A:B,2)</f>
        <v>Austin Reaves</v>
      </c>
    </row>
    <row r="172" spans="1:12" x14ac:dyDescent="0.25">
      <c r="A172">
        <v>3</v>
      </c>
      <c r="B172">
        <v>317</v>
      </c>
      <c r="C172">
        <v>1</v>
      </c>
      <c r="D172">
        <v>1000000</v>
      </c>
      <c r="F172">
        <v>1000000</v>
      </c>
      <c r="L172" t="str">
        <f>VLOOKUP(B172,players!A:B,2)</f>
        <v>Anfernee Simons</v>
      </c>
    </row>
    <row r="173" spans="1:12" x14ac:dyDescent="0.25">
      <c r="A173">
        <v>14</v>
      </c>
      <c r="B173">
        <v>299</v>
      </c>
      <c r="C173">
        <v>2</v>
      </c>
      <c r="L173" t="str">
        <f>VLOOKUP(B173,players!A:B,2)</f>
        <v>Marcus Smart</v>
      </c>
    </row>
    <row r="174" spans="1:12" x14ac:dyDescent="0.25">
      <c r="A174">
        <v>14</v>
      </c>
      <c r="B174">
        <v>129</v>
      </c>
      <c r="C174">
        <v>3</v>
      </c>
      <c r="L174" t="str">
        <f>VLOOKUP(B174,players!A:B,2)</f>
        <v>Jaime Jaquez Jr.</v>
      </c>
    </row>
    <row r="175" spans="1:12" x14ac:dyDescent="0.25">
      <c r="A175">
        <v>3</v>
      </c>
      <c r="B175">
        <v>90</v>
      </c>
      <c r="C175">
        <v>4</v>
      </c>
      <c r="D175">
        <v>6000000</v>
      </c>
      <c r="F175">
        <v>6000000</v>
      </c>
      <c r="L175" t="str">
        <f>VLOOKUP(B175,players!A:B,2)</f>
        <v>Jimmy Butler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VLOOKUP(B176,players!A:B,2)</f>
        <v>Moussa Diabaté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VLOOKUP(B177,players!A:B,2)</f>
        <v>Coby White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VLOOKUP(B178,players!A:B,2)</f>
        <v>Evan Mobley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VLOOKUP(B179,players!A:B,2)</f>
        <v>LeBron James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VLOOKUP(B180,players!A:B,2)</f>
        <v>Cooper Flagg</v>
      </c>
    </row>
    <row r="181" spans="1:12" x14ac:dyDescent="0.25">
      <c r="A181">
        <v>14</v>
      </c>
      <c r="B181">
        <v>2</v>
      </c>
      <c r="C181">
        <v>10</v>
      </c>
      <c r="L181" t="str">
        <f>VLOOKUP(B181,players!A:B,2)</f>
        <v>Karl-Anthony Towns</v>
      </c>
    </row>
    <row r="182" spans="1:12" x14ac:dyDescent="0.25">
      <c r="A182">
        <v>14</v>
      </c>
      <c r="B182">
        <v>220</v>
      </c>
      <c r="C182">
        <v>11</v>
      </c>
      <c r="D182">
        <v>2000000</v>
      </c>
      <c r="F182">
        <v>2000000</v>
      </c>
      <c r="L182" t="str">
        <f>VLOOKUP(B182,players!A:B,2)</f>
        <v>Quentin Grimes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VLOOKUP(B183,players!A:B,2)</f>
        <v>LaMelo Ball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str">
        <f>VLOOKUP(B184,players!A:B,2)</f>
        <v>Cason Wallace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str">
        <f>VLOOKUP(B185,players!A:B,2)</f>
        <v>Dylan Harper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str">
        <f>VLOOKUP(B186,players!A:B,2)</f>
        <v>Toumani Camara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str">
        <f>VLOOKUP(B187,players!A:B,2)</f>
        <v>Allen Graves</v>
      </c>
    </row>
    <row r="188" spans="1:12" x14ac:dyDescent="0.25">
      <c r="A188">
        <v>5</v>
      </c>
      <c r="B188">
        <v>148</v>
      </c>
      <c r="L188" t="str">
        <f>VLOOKUP(B188,players!A:B,2)</f>
        <v>Royce O'Neale</v>
      </c>
    </row>
    <row r="189" spans="1:12" x14ac:dyDescent="0.25">
      <c r="A189">
        <v>7</v>
      </c>
      <c r="B189">
        <v>107</v>
      </c>
      <c r="L189" t="str">
        <f>VLOOKUP(B189,players!A:B,2)</f>
        <v>RJ Barrett</v>
      </c>
    </row>
    <row r="190" spans="1:12" x14ac:dyDescent="0.25">
      <c r="A190">
        <v>3</v>
      </c>
      <c r="B190">
        <v>205</v>
      </c>
      <c r="C190">
        <v>16</v>
      </c>
      <c r="D190">
        <v>8500000</v>
      </c>
      <c r="F190">
        <v>8500000</v>
      </c>
      <c r="H190">
        <v>8500000</v>
      </c>
      <c r="L190" t="str">
        <f>VLOOKUP(B190,players!A:B,2)</f>
        <v>Mikal Bridges</v>
      </c>
    </row>
    <row r="191" spans="1:12" x14ac:dyDescent="0.25">
      <c r="A191">
        <v>8</v>
      </c>
      <c r="B191">
        <v>288</v>
      </c>
      <c r="D191">
        <v>3000000</v>
      </c>
      <c r="F191">
        <v>3000000</v>
      </c>
      <c r="H191">
        <v>3000000</v>
      </c>
      <c r="L191" t="str">
        <f>VLOOKUP(B191,players!A:B,2)</f>
        <v>Reed Sheppard</v>
      </c>
    </row>
    <row r="192" spans="1:12" x14ac:dyDescent="0.25">
      <c r="A192">
        <v>11</v>
      </c>
      <c r="B192">
        <v>158</v>
      </c>
      <c r="D192">
        <v>1000000</v>
      </c>
      <c r="L192" t="str">
        <f>VLOOKUP(B192,players!A:B,2)</f>
        <v>Kyle Kuzma</v>
      </c>
    </row>
    <row r="193" spans="1:12" x14ac:dyDescent="0.25">
      <c r="A193">
        <v>3</v>
      </c>
      <c r="B193">
        <v>207</v>
      </c>
      <c r="D193">
        <v>1000000</v>
      </c>
      <c r="F193">
        <v>1000000</v>
      </c>
      <c r="L193" t="str">
        <f>VLOOKUP(B193,players!A:B,2)</f>
        <v>Zaccharie Risacher</v>
      </c>
    </row>
    <row r="194" spans="1:12" x14ac:dyDescent="0.25">
      <c r="A194">
        <v>14</v>
      </c>
      <c r="B194">
        <v>303</v>
      </c>
      <c r="D194">
        <v>1000000</v>
      </c>
      <c r="F194">
        <v>1000000</v>
      </c>
      <c r="H194">
        <v>1000000</v>
      </c>
      <c r="L194" t="str">
        <f>VLOOKUP(B194,players!A:B,2)</f>
        <v>Scoot Henderson</v>
      </c>
    </row>
    <row r="195" spans="1:12" x14ac:dyDescent="0.25">
      <c r="A195">
        <v>1</v>
      </c>
      <c r="B195">
        <v>82</v>
      </c>
      <c r="D195">
        <v>1000000</v>
      </c>
      <c r="F195">
        <v>1000000</v>
      </c>
      <c r="H195">
        <v>1000000</v>
      </c>
      <c r="L195" t="str">
        <f>VLOOKUP(B195,players!A:B,2)</f>
        <v>Yves Missi</v>
      </c>
    </row>
    <row r="196" spans="1:12" x14ac:dyDescent="0.25">
      <c r="A196">
        <v>1</v>
      </c>
      <c r="B196">
        <v>215</v>
      </c>
      <c r="D196">
        <v>2000000</v>
      </c>
      <c r="F196">
        <v>2000000</v>
      </c>
      <c r="H196">
        <v>2000000</v>
      </c>
      <c r="L196" t="str">
        <f>VLOOKUP(B196,players!A:B,2)</f>
        <v>Taylor Hendricks</v>
      </c>
    </row>
    <row r="197" spans="1:12" x14ac:dyDescent="0.25">
      <c r="A197">
        <v>12</v>
      </c>
      <c r="B197">
        <v>41</v>
      </c>
      <c r="D197">
        <v>2000000</v>
      </c>
      <c r="F197">
        <v>2000000</v>
      </c>
      <c r="H197">
        <v>2000000</v>
      </c>
      <c r="L197" t="str">
        <f>VLOOKUP(B197,players!A:B,2)</f>
        <v>Maxime Raynaud</v>
      </c>
    </row>
    <row r="198" spans="1:12" x14ac:dyDescent="0.25">
      <c r="A198">
        <v>8</v>
      </c>
      <c r="B198">
        <v>93</v>
      </c>
      <c r="D198">
        <v>4000000</v>
      </c>
      <c r="F198">
        <v>4000000</v>
      </c>
      <c r="L198" t="str">
        <f>VLOOKUP(B198,players!A:B,2)</f>
        <v>Jonathan Kuminga</v>
      </c>
    </row>
    <row r="199" spans="1:12" x14ac:dyDescent="0.25">
      <c r="A199">
        <v>8</v>
      </c>
      <c r="B199">
        <v>288</v>
      </c>
      <c r="D199">
        <v>3000000</v>
      </c>
      <c r="F199">
        <v>3000000</v>
      </c>
      <c r="H199">
        <v>3000000</v>
      </c>
      <c r="L199" t="str">
        <f>VLOOKUP(B199,players!A:B,2)</f>
        <v>Reed Sheppard</v>
      </c>
    </row>
    <row r="200" spans="1:12" x14ac:dyDescent="0.25">
      <c r="A200">
        <v>7</v>
      </c>
      <c r="B200">
        <v>294</v>
      </c>
      <c r="D200">
        <v>1000000</v>
      </c>
      <c r="F200">
        <v>1000000</v>
      </c>
      <c r="L200" t="str">
        <f>VLOOKUP(B200,players!A:B,2)</f>
        <v>Ty Jerome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2026-08-17T13:54:38Z</dcterms:modified>
</cp:coreProperties>
</file>