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" documentId="11_74BB96416BE38E46CF7F0B9A45DA4DD825CFB4FC" xr6:coauthVersionLast="47" xr6:coauthVersionMax="47" xr10:uidLastSave="{ECF8EF0F-9966-474E-AC19-C93A4AA0B3CB}"/>
  <bookViews>
    <workbookView xWindow="28680" yWindow="-120" windowWidth="29040" windowHeight="16440" firstSheet="1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0" l="1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274" i="6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92" i="6"/>
  <c r="C92" i="6"/>
  <c r="G91" i="6"/>
  <c r="C91" i="6"/>
  <c r="G90" i="6"/>
  <c r="C90" i="6"/>
  <c r="G89" i="6"/>
  <c r="C89" i="6"/>
  <c r="G88" i="6"/>
  <c r="C88" i="6"/>
  <c r="G87" i="6"/>
  <c r="C87" i="6"/>
  <c r="G86" i="6"/>
  <c r="C86" i="6"/>
  <c r="G85" i="6"/>
  <c r="C85" i="6"/>
  <c r="G84" i="6"/>
  <c r="C84" i="6"/>
  <c r="G83" i="6"/>
  <c r="C83" i="6"/>
  <c r="G82" i="6"/>
  <c r="C82" i="6"/>
  <c r="G81" i="6"/>
  <c r="C81" i="6"/>
  <c r="G80" i="6"/>
  <c r="C80" i="6"/>
  <c r="G79" i="6"/>
  <c r="C79" i="6"/>
  <c r="G78" i="6"/>
  <c r="C78" i="6"/>
  <c r="G77" i="6"/>
  <c r="C77" i="6"/>
  <c r="G76" i="6"/>
  <c r="C76" i="6"/>
  <c r="G75" i="6"/>
  <c r="C75" i="6"/>
  <c r="G74" i="6"/>
  <c r="C74" i="6"/>
  <c r="G73" i="6"/>
  <c r="C73" i="6"/>
  <c r="G72" i="6"/>
  <c r="C72" i="6"/>
  <c r="G71" i="6"/>
  <c r="C71" i="6"/>
  <c r="G70" i="6"/>
  <c r="C70" i="6"/>
  <c r="G69" i="6"/>
  <c r="C69" i="6"/>
  <c r="G68" i="6"/>
  <c r="C68" i="6"/>
  <c r="G67" i="6"/>
  <c r="C67" i="6"/>
  <c r="G66" i="6"/>
  <c r="C66" i="6"/>
  <c r="G65" i="6"/>
  <c r="C65" i="6"/>
  <c r="G64" i="6"/>
  <c r="C64" i="6"/>
  <c r="G63" i="6"/>
  <c r="C63" i="6"/>
  <c r="G62" i="6"/>
  <c r="C62" i="6"/>
  <c r="G61" i="6"/>
  <c r="C61" i="6"/>
  <c r="G60" i="6"/>
  <c r="C60" i="6"/>
  <c r="G59" i="6"/>
  <c r="C59" i="6"/>
  <c r="G58" i="6"/>
  <c r="C58" i="6"/>
  <c r="G57" i="6"/>
  <c r="C57" i="6"/>
  <c r="G56" i="6"/>
  <c r="C56" i="6"/>
  <c r="G55" i="6"/>
  <c r="C55" i="6"/>
  <c r="G54" i="6"/>
  <c r="C54" i="6"/>
  <c r="G53" i="6"/>
  <c r="C53" i="6"/>
  <c r="G52" i="6"/>
  <c r="C52" i="6"/>
  <c r="G51" i="6"/>
  <c r="C51" i="6"/>
  <c r="G50" i="6"/>
  <c r="C50" i="6"/>
  <c r="G49" i="6"/>
  <c r="C49" i="6"/>
  <c r="G48" i="6"/>
  <c r="C48" i="6"/>
  <c r="G47" i="6"/>
  <c r="C47" i="6"/>
  <c r="G46" i="6"/>
  <c r="C46" i="6"/>
  <c r="G45" i="6"/>
  <c r="C45" i="6"/>
  <c r="G44" i="6"/>
  <c r="C44" i="6"/>
  <c r="G43" i="6"/>
  <c r="C43" i="6"/>
  <c r="G42" i="6"/>
  <c r="C42" i="6"/>
  <c r="G41" i="6"/>
  <c r="C41" i="6"/>
  <c r="G40" i="6"/>
  <c r="C40" i="6"/>
  <c r="G39" i="6"/>
  <c r="C39" i="6"/>
  <c r="G38" i="6"/>
  <c r="C38" i="6"/>
  <c r="G37" i="6"/>
  <c r="C37" i="6"/>
  <c r="G36" i="6"/>
  <c r="C36" i="6"/>
  <c r="G35" i="6"/>
  <c r="C35" i="6"/>
  <c r="G34" i="6"/>
  <c r="C34" i="6"/>
  <c r="G33" i="6"/>
  <c r="C33" i="6"/>
  <c r="G32" i="6"/>
  <c r="C32" i="6"/>
  <c r="G31" i="6"/>
  <c r="C31" i="6"/>
  <c r="G30" i="6"/>
  <c r="C30" i="6"/>
  <c r="G29" i="6"/>
  <c r="C29" i="6"/>
  <c r="H28" i="6"/>
  <c r="H35" i="6" s="1"/>
  <c r="H42" i="6" s="1"/>
  <c r="H49" i="6" s="1"/>
  <c r="H56" i="6" s="1"/>
  <c r="H63" i="6" s="1"/>
  <c r="H70" i="6" s="1"/>
  <c r="H77" i="6" s="1"/>
  <c r="H84" i="6" s="1"/>
  <c r="H91" i="6" s="1"/>
  <c r="H98" i="6" s="1"/>
  <c r="H105" i="6" s="1"/>
  <c r="H112" i="6" s="1"/>
  <c r="H119" i="6" s="1"/>
  <c r="H126" i="6" s="1"/>
  <c r="H133" i="6" s="1"/>
  <c r="H140" i="6" s="1"/>
  <c r="H147" i="6" s="1"/>
  <c r="H154" i="6" s="1"/>
  <c r="H161" i="6" s="1"/>
  <c r="H168" i="6" s="1"/>
  <c r="H175" i="6" s="1"/>
  <c r="H182" i="6" s="1"/>
  <c r="H189" i="6" s="1"/>
  <c r="H196" i="6" s="1"/>
  <c r="H203" i="6" s="1"/>
  <c r="H210" i="6" s="1"/>
  <c r="H217" i="6" s="1"/>
  <c r="H224" i="6" s="1"/>
  <c r="H231" i="6" s="1"/>
  <c r="H238" i="6" s="1"/>
  <c r="H245" i="6" s="1"/>
  <c r="H252" i="6" s="1"/>
  <c r="H259" i="6" s="1"/>
  <c r="H266" i="6" s="1"/>
  <c r="H273" i="6" s="1"/>
  <c r="G28" i="6"/>
  <c r="C28" i="6"/>
  <c r="G27" i="6"/>
  <c r="C27" i="6"/>
  <c r="G26" i="6"/>
  <c r="C26" i="6"/>
  <c r="G25" i="6"/>
  <c r="C25" i="6"/>
  <c r="H24" i="6"/>
  <c r="H31" i="6" s="1"/>
  <c r="H38" i="6" s="1"/>
  <c r="H45" i="6" s="1"/>
  <c r="H52" i="6" s="1"/>
  <c r="H59" i="6" s="1"/>
  <c r="H66" i="6" s="1"/>
  <c r="H73" i="6" s="1"/>
  <c r="H80" i="6" s="1"/>
  <c r="H87" i="6" s="1"/>
  <c r="H94" i="6" s="1"/>
  <c r="H101" i="6" s="1"/>
  <c r="H108" i="6" s="1"/>
  <c r="H115" i="6" s="1"/>
  <c r="H122" i="6" s="1"/>
  <c r="H129" i="6" s="1"/>
  <c r="H136" i="6" s="1"/>
  <c r="H143" i="6" s="1"/>
  <c r="H150" i="6" s="1"/>
  <c r="H157" i="6" s="1"/>
  <c r="H164" i="6" s="1"/>
  <c r="H171" i="6" s="1"/>
  <c r="H178" i="6" s="1"/>
  <c r="H185" i="6" s="1"/>
  <c r="H192" i="6" s="1"/>
  <c r="H199" i="6" s="1"/>
  <c r="H206" i="6" s="1"/>
  <c r="H213" i="6" s="1"/>
  <c r="H220" i="6" s="1"/>
  <c r="H227" i="6" s="1"/>
  <c r="H234" i="6" s="1"/>
  <c r="H241" i="6" s="1"/>
  <c r="H248" i="6" s="1"/>
  <c r="H255" i="6" s="1"/>
  <c r="H262" i="6" s="1"/>
  <c r="H269" i="6" s="1"/>
  <c r="G24" i="6"/>
  <c r="C24" i="6"/>
  <c r="H23" i="6"/>
  <c r="H30" i="6" s="1"/>
  <c r="H37" i="6" s="1"/>
  <c r="H44" i="6" s="1"/>
  <c r="H51" i="6" s="1"/>
  <c r="H58" i="6" s="1"/>
  <c r="H65" i="6" s="1"/>
  <c r="H72" i="6" s="1"/>
  <c r="H79" i="6" s="1"/>
  <c r="H86" i="6" s="1"/>
  <c r="H93" i="6" s="1"/>
  <c r="H100" i="6" s="1"/>
  <c r="H107" i="6" s="1"/>
  <c r="H114" i="6" s="1"/>
  <c r="H121" i="6" s="1"/>
  <c r="H128" i="6" s="1"/>
  <c r="H135" i="6" s="1"/>
  <c r="H142" i="6" s="1"/>
  <c r="H149" i="6" s="1"/>
  <c r="H156" i="6" s="1"/>
  <c r="H163" i="6" s="1"/>
  <c r="H170" i="6" s="1"/>
  <c r="H177" i="6" s="1"/>
  <c r="H184" i="6" s="1"/>
  <c r="H191" i="6" s="1"/>
  <c r="H198" i="6" s="1"/>
  <c r="H205" i="6" s="1"/>
  <c r="H212" i="6" s="1"/>
  <c r="H219" i="6" s="1"/>
  <c r="H226" i="6" s="1"/>
  <c r="H233" i="6" s="1"/>
  <c r="H240" i="6" s="1"/>
  <c r="H247" i="6" s="1"/>
  <c r="H254" i="6" s="1"/>
  <c r="H261" i="6" s="1"/>
  <c r="H268" i="6" s="1"/>
  <c r="G23" i="6"/>
  <c r="C23" i="6"/>
  <c r="G22" i="6"/>
  <c r="C22" i="6"/>
  <c r="H21" i="6"/>
  <c r="G21" i="6"/>
  <c r="C21" i="6"/>
  <c r="G20" i="6"/>
  <c r="C20" i="6"/>
  <c r="G19" i="6"/>
  <c r="C19" i="6"/>
  <c r="G18" i="6"/>
  <c r="C18" i="6"/>
  <c r="H17" i="6"/>
  <c r="G17" i="6"/>
  <c r="C17" i="6"/>
  <c r="H16" i="6"/>
  <c r="G16" i="6"/>
  <c r="C16" i="6"/>
  <c r="H15" i="6"/>
  <c r="H22" i="6" s="1"/>
  <c r="H29" i="6" s="1"/>
  <c r="H36" i="6" s="1"/>
  <c r="H43" i="6" s="1"/>
  <c r="H50" i="6" s="1"/>
  <c r="H57" i="6" s="1"/>
  <c r="H64" i="6" s="1"/>
  <c r="H71" i="6" s="1"/>
  <c r="H78" i="6" s="1"/>
  <c r="H85" i="6" s="1"/>
  <c r="H92" i="6" s="1"/>
  <c r="H99" i="6" s="1"/>
  <c r="H106" i="6" s="1"/>
  <c r="H113" i="6" s="1"/>
  <c r="H120" i="6" s="1"/>
  <c r="H127" i="6" s="1"/>
  <c r="H134" i="6" s="1"/>
  <c r="H141" i="6" s="1"/>
  <c r="H148" i="6" s="1"/>
  <c r="H155" i="6" s="1"/>
  <c r="H162" i="6" s="1"/>
  <c r="H169" i="6" s="1"/>
  <c r="H176" i="6" s="1"/>
  <c r="H183" i="6" s="1"/>
  <c r="H190" i="6" s="1"/>
  <c r="H197" i="6" s="1"/>
  <c r="H204" i="6" s="1"/>
  <c r="H211" i="6" s="1"/>
  <c r="H218" i="6" s="1"/>
  <c r="H225" i="6" s="1"/>
  <c r="H232" i="6" s="1"/>
  <c r="H239" i="6" s="1"/>
  <c r="H246" i="6" s="1"/>
  <c r="H253" i="6" s="1"/>
  <c r="H260" i="6" s="1"/>
  <c r="H267" i="6" s="1"/>
  <c r="H274" i="6" s="1"/>
  <c r="G15" i="6"/>
  <c r="C15" i="6"/>
  <c r="H14" i="6"/>
  <c r="G14" i="6"/>
  <c r="C14" i="6"/>
  <c r="H13" i="6"/>
  <c r="H20" i="6" s="1"/>
  <c r="H27" i="6" s="1"/>
  <c r="H34" i="6" s="1"/>
  <c r="H41" i="6" s="1"/>
  <c r="H48" i="6" s="1"/>
  <c r="H55" i="6" s="1"/>
  <c r="H62" i="6" s="1"/>
  <c r="H69" i="6" s="1"/>
  <c r="H76" i="6" s="1"/>
  <c r="H83" i="6" s="1"/>
  <c r="H90" i="6" s="1"/>
  <c r="H97" i="6" s="1"/>
  <c r="H104" i="6" s="1"/>
  <c r="H111" i="6" s="1"/>
  <c r="H118" i="6" s="1"/>
  <c r="H125" i="6" s="1"/>
  <c r="H132" i="6" s="1"/>
  <c r="H139" i="6" s="1"/>
  <c r="H146" i="6" s="1"/>
  <c r="H153" i="6" s="1"/>
  <c r="H160" i="6" s="1"/>
  <c r="H167" i="6" s="1"/>
  <c r="H174" i="6" s="1"/>
  <c r="H181" i="6" s="1"/>
  <c r="H188" i="6" s="1"/>
  <c r="H195" i="6" s="1"/>
  <c r="H202" i="6" s="1"/>
  <c r="H209" i="6" s="1"/>
  <c r="H216" i="6" s="1"/>
  <c r="H223" i="6" s="1"/>
  <c r="H230" i="6" s="1"/>
  <c r="H237" i="6" s="1"/>
  <c r="H244" i="6" s="1"/>
  <c r="H251" i="6" s="1"/>
  <c r="H258" i="6" s="1"/>
  <c r="H265" i="6" s="1"/>
  <c r="H272" i="6" s="1"/>
  <c r="G13" i="6"/>
  <c r="C13" i="6"/>
  <c r="H12" i="6"/>
  <c r="H19" i="6" s="1"/>
  <c r="H26" i="6" s="1"/>
  <c r="H33" i="6" s="1"/>
  <c r="H40" i="6" s="1"/>
  <c r="H47" i="6" s="1"/>
  <c r="H54" i="6" s="1"/>
  <c r="H61" i="6" s="1"/>
  <c r="H68" i="6" s="1"/>
  <c r="H75" i="6" s="1"/>
  <c r="H82" i="6" s="1"/>
  <c r="H89" i="6" s="1"/>
  <c r="H96" i="6" s="1"/>
  <c r="H103" i="6" s="1"/>
  <c r="H110" i="6" s="1"/>
  <c r="H117" i="6" s="1"/>
  <c r="H124" i="6" s="1"/>
  <c r="H131" i="6" s="1"/>
  <c r="H138" i="6" s="1"/>
  <c r="H145" i="6" s="1"/>
  <c r="H152" i="6" s="1"/>
  <c r="H159" i="6" s="1"/>
  <c r="H166" i="6" s="1"/>
  <c r="H173" i="6" s="1"/>
  <c r="H180" i="6" s="1"/>
  <c r="H187" i="6" s="1"/>
  <c r="H194" i="6" s="1"/>
  <c r="H201" i="6" s="1"/>
  <c r="H208" i="6" s="1"/>
  <c r="H215" i="6" s="1"/>
  <c r="H222" i="6" s="1"/>
  <c r="H229" i="6" s="1"/>
  <c r="H236" i="6" s="1"/>
  <c r="H243" i="6" s="1"/>
  <c r="H250" i="6" s="1"/>
  <c r="H257" i="6" s="1"/>
  <c r="H264" i="6" s="1"/>
  <c r="H271" i="6" s="1"/>
  <c r="G12" i="6"/>
  <c r="C12" i="6"/>
  <c r="H11" i="6"/>
  <c r="H18" i="6" s="1"/>
  <c r="H25" i="6" s="1"/>
  <c r="H32" i="6" s="1"/>
  <c r="H39" i="6" s="1"/>
  <c r="H46" i="6" s="1"/>
  <c r="H53" i="6" s="1"/>
  <c r="H60" i="6" s="1"/>
  <c r="H67" i="6" s="1"/>
  <c r="H74" i="6" s="1"/>
  <c r="H81" i="6" s="1"/>
  <c r="H88" i="6" s="1"/>
  <c r="H95" i="6" s="1"/>
  <c r="H102" i="6" s="1"/>
  <c r="H109" i="6" s="1"/>
  <c r="H116" i="6" s="1"/>
  <c r="H123" i="6" s="1"/>
  <c r="H130" i="6" s="1"/>
  <c r="H137" i="6" s="1"/>
  <c r="H144" i="6" s="1"/>
  <c r="H151" i="6" s="1"/>
  <c r="H158" i="6" s="1"/>
  <c r="H165" i="6" s="1"/>
  <c r="H172" i="6" s="1"/>
  <c r="H179" i="6" s="1"/>
  <c r="H186" i="6" s="1"/>
  <c r="H193" i="6" s="1"/>
  <c r="H200" i="6" s="1"/>
  <c r="H207" i="6" s="1"/>
  <c r="H214" i="6" s="1"/>
  <c r="H221" i="6" s="1"/>
  <c r="H228" i="6" s="1"/>
  <c r="H235" i="6" s="1"/>
  <c r="H242" i="6" s="1"/>
  <c r="H249" i="6" s="1"/>
  <c r="H256" i="6" s="1"/>
  <c r="H263" i="6" s="1"/>
  <c r="H270" i="6" s="1"/>
  <c r="G11" i="6"/>
  <c r="C11" i="6"/>
  <c r="H10" i="6"/>
  <c r="G10" i="6"/>
  <c r="C10" i="6"/>
  <c r="H9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<sst xmlns="http://schemas.openxmlformats.org/spreadsheetml/2006/main" count="1945" uniqueCount="707">
  <si>
    <t>transactionid</t>
  </si>
  <si>
    <t>transactiontype</t>
  </si>
  <si>
    <t>transactiondate</t>
  </si>
  <si>
    <t>season</t>
  </si>
  <si>
    <t>fromteamid</t>
  </si>
  <si>
    <t>toteamid</t>
  </si>
  <si>
    <t>initiatedby</t>
  </si>
  <si>
    <t>status</t>
  </si>
  <si>
    <t>notes</t>
  </si>
  <si>
    <t>transaction_id</t>
  </si>
  <si>
    <t>Pick Swap</t>
  </si>
  <si>
    <t>2026-07-15</t>
  </si>
  <si>
    <t>2026-27</t>
  </si>
  <si>
    <t>Gema</t>
  </si>
  <si>
    <t>Approved</t>
  </si>
  <si>
    <t>Trade</t>
  </si>
  <si>
    <t>Diamond</t>
  </si>
  <si>
    <t>Peleia</t>
  </si>
  <si>
    <t>Pharynx</t>
  </si>
  <si>
    <t>Barons</t>
  </si>
  <si>
    <t>DEV_DEMOTION</t>
  </si>
  <si>
    <t>BlackMamba</t>
  </si>
  <si>
    <t>DEV_PROMOTION</t>
  </si>
  <si>
    <t>Celtics</t>
  </si>
  <si>
    <t>CUT</t>
  </si>
  <si>
    <t>null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</si>
  <si>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</si>
  <si>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</si>
  <si>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</si>
  <si>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</si>
  <si>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</si>
  <si>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</si>
  <si>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</si>
  <si>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</si>
  <si>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</si>
  <si>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</si>
  <si>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</si>
  <si>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</si>
  <si>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</si>
  <si>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</si>
  <si>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</si>
  <si>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</si>
  <si>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</si>
  <si>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</si>
  <si>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</si>
  <si>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</si>
  <si>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</si>
  <si>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</si>
  <si>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</si>
  <si>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</si>
  <si>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</si>
  <si>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</si>
  <si>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</si>
  <si>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</si>
  <si>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</si>
  <si>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</si>
  <si>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</si>
  <si>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</si>
  <si>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</si>
  <si>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</si>
  <si>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</si>
  <si>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</si>
  <si>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</si>
  <si>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</si>
  <si>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</si>
  <si>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</si>
  <si>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</si>
  <si>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</si>
  <si>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</si>
  <si>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</si>
  <si>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</si>
  <si>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</si>
  <si>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</si>
  <si>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</si>
  <si>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</si>
  <si>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</si>
  <si>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</si>
  <si>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</si>
  <si>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</si>
  <si>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</si>
  <si>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</si>
  <si>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</si>
  <si>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</si>
  <si>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</si>
  <si>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</si>
  <si>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</si>
  <si>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</si>
  <si>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</si>
  <si>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</si>
  <si>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</si>
  <si>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</si>
  <si>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</si>
  <si>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</si>
  <si>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</si>
  <si>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</si>
  <si>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</si>
  <si>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</si>
  <si>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</si>
  <si>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</si>
  <si>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</si>
  <si>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</si>
  <si>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</si>
  <si>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</si>
  <si>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</si>
  <si>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</si>
  <si>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</si>
  <si>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</si>
  <si>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</si>
  <si>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</si>
  <si>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</si>
  <si>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</si>
  <si>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</si>
  <si>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</si>
  <si>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</si>
  <si>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</si>
  <si>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</si>
  <si>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</si>
  <si>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</si>
  <si>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</si>
  <si>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</si>
  <si>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</si>
  <si>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</si>
  <si>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</si>
  <si>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</si>
  <si>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</si>
  <si>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</si>
  <si>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</si>
  <si>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</si>
  <si>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</si>
  <si>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</si>
  <si>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</si>
  <si>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</si>
  <si>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</si>
  <si>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</si>
  <si>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</si>
  <si>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</si>
  <si>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</si>
  <si>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</si>
  <si>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</si>
  <si>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</si>
  <si>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</si>
  <si>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</si>
  <si>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</si>
  <si>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</si>
  <si>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</si>
  <si>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</si>
  <si>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</si>
  <si>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</si>
  <si>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</si>
  <si>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</si>
  <si>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</si>
  <si>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</si>
  <si>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</si>
  <si>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</si>
  <si>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</si>
  <si>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</si>
  <si>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</si>
  <si>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</si>
  <si>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</si>
  <si>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</si>
  <si>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</si>
  <si>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</si>
  <si>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</si>
  <si>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</si>
  <si>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</si>
  <si>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</si>
  <si>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</si>
  <si>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</si>
  <si>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</si>
  <si>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</si>
  <si>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</si>
  <si>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</si>
  <si>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</si>
  <si>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</si>
  <si>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</si>
  <si>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</si>
  <si>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</si>
  <si>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</si>
  <si>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</si>
  <si>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</si>
  <si>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</si>
  <si>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</si>
  <si>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</si>
  <si>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</si>
  <si>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</si>
  <si>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</si>
  <si>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</si>
  <si>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</si>
  <si>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</si>
  <si>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</si>
  <si>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</si>
  <si>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</si>
  <si>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</si>
  <si>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</si>
  <si>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</si>
  <si>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</si>
  <si>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</si>
  <si>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</si>
  <si>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</si>
  <si>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</si>
  <si>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</si>
  <si>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</si>
  <si>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</si>
  <si>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</si>
  <si>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</si>
  <si>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</si>
  <si>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</si>
  <si>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</si>
  <si>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</si>
  <si>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</si>
  <si>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</si>
  <si>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</si>
  <si>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</si>
  <si>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</si>
  <si>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</si>
  <si>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</si>
  <si>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</si>
  <si>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</si>
  <si>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</si>
  <si>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</si>
  <si>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</si>
  <si>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</si>
  <si>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</si>
  <si>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</si>
  <si>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</si>
  <si>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</si>
  <si>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</si>
  <si>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</si>
  <si>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</si>
  <si>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</si>
  <si>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</si>
  <si>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</si>
  <si>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</si>
  <si>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</si>
  <si>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</si>
  <si>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</si>
  <si>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</si>
  <si>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</si>
  <si>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</si>
  <si>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</si>
  <si>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</si>
  <si>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</si>
  <si>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</si>
  <si>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</si>
  <si>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</si>
  <si>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</si>
  <si>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</si>
  <si>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</si>
  <si>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</si>
  <si>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</si>
  <si>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</si>
  <si>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</si>
  <si>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</si>
  <si>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</si>
  <si>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</si>
  <si>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</si>
  <si>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</si>
  <si>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</si>
  <si>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</si>
  <si>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</si>
  <si>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</si>
  <si>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</si>
  <si>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</si>
  <si>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</si>
  <si>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</si>
  <si>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</si>
  <si>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</si>
  <si>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</si>
  <si>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</si>
  <si>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</si>
  <si>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</si>
  <si>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</si>
  <si>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</si>
  <si>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</si>
  <si>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</si>
  <si>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</si>
  <si>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</si>
  <si>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</si>
  <si>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</si>
  <si>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</si>
  <si>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</si>
  <si>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</si>
  <si>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</si>
  <si>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</si>
  <si>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</si>
  <si>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</si>
  <si>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</si>
  <si>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</si>
  <si>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</si>
  <si>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</si>
  <si>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</si>
  <si>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</si>
  <si>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</si>
  <si>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</si>
  <si>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</si>
  <si>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</si>
  <si>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</si>
  <si>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</si>
  <si>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</si>
  <si>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</si>
  <si>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</si>
  <si>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</si>
  <si>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</si>
  <si>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</si>
  <si>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</si>
  <si>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</si>
  <si>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</si>
  <si>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</si>
  <si>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</si>
  <si>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</si>
  <si>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</si>
  <si>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</si>
  <si>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</si>
  <si>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</si>
  <si>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</si>
  <si>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</si>
  <si>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</si>
  <si>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</si>
  <si>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</si>
  <si>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</si>
  <si>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</si>
  <si>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</si>
  <si>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</si>
  <si>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</si>
  <si>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</si>
  <si>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</si>
  <si>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</si>
  <si>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</si>
  <si>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</si>
  <si>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</si>
  <si>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</si>
  <si>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</si>
  <si>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</si>
  <si>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</si>
  <si>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</si>
  <si>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</si>
  <si>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</si>
  <si>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</si>
  <si>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</si>
  <si>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</si>
  <si>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</si>
  <si>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</si>
  <si>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</si>
  <si>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</si>
  <si>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</si>
  <si>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</si>
  <si>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</si>
  <si>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</si>
  <si>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</si>
  <si>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</si>
  <si>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</si>
  <si>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</si>
  <si>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</si>
  <si>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</si>
  <si>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</si>
  <si>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</si>
  <si>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</si>
  <si>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</si>
  <si>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</si>
  <si>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</si>
  <si>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</si>
  <si>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</si>
  <si>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</si>
  <si>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</si>
  <si>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</si>
  <si>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</si>
  <si>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</si>
  <si>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</si>
  <si>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</si>
  <si>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</si>
  <si>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</si>
  <si>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</si>
  <si>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</si>
  <si>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</si>
  <si>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</si>
  <si>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</si>
  <si>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</si>
  <si>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</si>
  <si>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</si>
  <si>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</si>
  <si>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</si>
  <si>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</si>
  <si>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</si>
  <si>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</si>
  <si>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</si>
  <si>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</si>
  <si>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</si>
  <si>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</si>
  <si>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</si>
  <si>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</si>
  <si>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</si>
  <si>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</si>
  <si>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</si>
  <si>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</si>
  <si>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</si>
  <si>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</si>
  <si>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</si>
  <si>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</si>
  <si>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</si>
  <si>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</si>
  <si>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</si>
  <si>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</si>
  <si>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</si>
  <si>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</si>
  <si>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</si>
  <si>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</si>
  <si>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</si>
  <si>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</si>
  <si>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</si>
  <si>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</si>
  <si>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</si>
  <si>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</si>
  <si>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</si>
  <si>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</si>
  <si>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</si>
  <si>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</si>
  <si>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</si>
  <si>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</si>
  <si>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</si>
  <si>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</si>
  <si>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</si>
  <si>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</si>
  <si>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</si>
  <si>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</si>
  <si>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</si>
  <si>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</si>
  <si>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</si>
  <si>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</si>
  <si>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</si>
  <si>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</si>
  <si>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</si>
  <si>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</si>
  <si>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</si>
  <si>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</si>
  <si>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</si>
  <si>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</si>
  <si>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</si>
  <si>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</si>
  <si>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</si>
  <si>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</si>
  <si>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</si>
  <si>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</si>
  <si>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</si>
  <si>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</si>
  <si>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</si>
  <si>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</si>
  <si>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</si>
  <si>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</si>
  <si>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</si>
  <si>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</si>
  <si>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</si>
  <si>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</si>
  <si>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</si>
  <si>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</si>
  <si>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</si>
  <si>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</si>
  <si>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</si>
  <si>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</si>
  <si>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</si>
  <si>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</si>
  <si>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</si>
  <si>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</si>
  <si>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</si>
  <si>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</si>
  <si>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</si>
  <si>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</si>
  <si>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</si>
  <si>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</si>
  <si>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</si>
  <si>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</si>
  <si>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</si>
  <si>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</si>
  <si>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</si>
  <si>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</si>
  <si>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</si>
  <si>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</si>
  <si>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</si>
  <si>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</si>
  <si>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</si>
  <si>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</si>
  <si>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</si>
  <si>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</si>
  <si>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</si>
  <si>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</si>
  <si>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</si>
  <si>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</si>
  <si>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</si>
  <si>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</si>
  <si>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</si>
  <si>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</si>
  <si>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</si>
  <si>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</si>
  <si>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</si>
  <si>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</si>
  <si>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</si>
  <si>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</si>
  <si>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</si>
  <si>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</si>
  <si>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</si>
  <si>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</si>
  <si>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</si>
  <si>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</si>
  <si>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</si>
  <si>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</si>
  <si>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</si>
  <si>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</si>
  <si>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</si>
  <si>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</si>
  <si>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</si>
  <si>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</si>
  <si>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</si>
  <si>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</si>
  <si>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</si>
  <si>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</si>
  <si>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</si>
  <si>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</si>
  <si>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</si>
  <si>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</si>
  <si>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</si>
  <si>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</si>
  <si>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</si>
  <si>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</si>
  <si>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</si>
  <si>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</si>
  <si>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</si>
  <si>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</si>
  <si>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</si>
  <si>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</si>
  <si>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</si>
  <si>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</si>
  <si>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</si>
  <si>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</si>
  <si>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</si>
  <si>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</si>
  <si>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</si>
  <si>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</si>
  <si>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</si>
  <si>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transaction_date</t>
  </si>
  <si>
    <t>from_team_id</t>
  </si>
  <si>
    <t>to_team_id</t>
  </si>
  <si>
    <t>initiated_by</t>
  </si>
  <si>
    <t>username</t>
  </si>
  <si>
    <t>SIGN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</si>
  <si>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</si>
  <si>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</si>
  <si>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</si>
  <si>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</si>
  <si>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</si>
  <si>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</si>
  <si>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</si>
  <si>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</si>
  <si>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</si>
  <si>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</si>
  <si>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</si>
  <si>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</si>
  <si>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</si>
  <si>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</si>
  <si>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</si>
  <si>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</si>
  <si>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</si>
  <si>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</si>
  <si>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</si>
  <si>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</si>
  <si>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</si>
  <si>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</si>
  <si>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</si>
  <si>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</si>
  <si>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</si>
  <si>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</si>
  <si>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</si>
  <si>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</si>
  <si>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</si>
  <si>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</si>
  <si>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</si>
  <si>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</si>
  <si>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</si>
  <si>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</si>
  <si>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</si>
  <si>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</si>
  <si>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</si>
  <si>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</si>
  <si>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</si>
  <si>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</si>
  <si>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2026-28</t>
  </si>
  <si>
    <t>2026-29</t>
  </si>
  <si>
    <t>2026-38</t>
  </si>
  <si>
    <t>2026-39</t>
  </si>
  <si>
    <t>2026-40</t>
  </si>
  <si>
    <t>2026-41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</si>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</sst>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7</v>
      </c>
      <c r="M1" t="s">
        <v>50</v>
      </c>
    </row>
    <row r="2" spans="1:13" x14ac:dyDescent="0.25">
      <c r="A2">
        <v>1</v>
      </c>
      <c r="B2" s="1" t="s">
        <v>51</v>
      </c>
      <c r="C2" s="1"/>
      <c r="D2" s="1" t="s">
        <v>52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53</v>
      </c>
      <c r="C3" s="1"/>
      <c r="D3" s="1" t="s">
        <v>52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54</v>
      </c>
      <c r="D4" s="1" t="s">
        <v>52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55</v>
      </c>
      <c r="C5" s="1"/>
      <c r="D5" s="1" t="s">
        <v>52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56</v>
      </c>
      <c r="D6" s="1" t="s">
        <v>52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57</v>
      </c>
      <c r="D7" s="1" t="s">
        <v>58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59</v>
      </c>
      <c r="C8" s="1"/>
      <c r="D8" s="1" t="s">
        <v>52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60</v>
      </c>
      <c r="D9" s="1" t="s">
        <v>52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61</v>
      </c>
      <c r="D10" s="1" t="s">
        <v>52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62</v>
      </c>
      <c r="D11" s="1" t="s">
        <v>52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63</v>
      </c>
      <c r="C12" s="1"/>
      <c r="D12" s="1" t="s">
        <v>52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64</v>
      </c>
      <c r="D13" s="1" t="s">
        <v>65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66</v>
      </c>
      <c r="D14" s="1" t="s">
        <v>52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67</v>
      </c>
      <c r="C15" s="1"/>
      <c r="D15" s="1" t="s">
        <v>65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68</v>
      </c>
      <c r="C16" s="1"/>
      <c r="D16" s="1" t="s">
        <v>69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70</v>
      </c>
      <c r="C17" s="1"/>
      <c r="D17" s="1" t="s">
        <v>52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71</v>
      </c>
      <c r="C18" s="1"/>
      <c r="D18" s="1" t="s">
        <v>58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72</v>
      </c>
      <c r="D19" s="1" t="s">
        <v>52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73</v>
      </c>
      <c r="D20" s="1" t="s">
        <v>58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74</v>
      </c>
      <c r="D21" s="1" t="s">
        <v>52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75</v>
      </c>
      <c r="C22" s="1"/>
      <c r="D22" s="1" t="s">
        <v>52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76</v>
      </c>
      <c r="D23" s="1" t="s">
        <v>58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77</v>
      </c>
      <c r="D24" s="1" t="s">
        <v>52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78</v>
      </c>
      <c r="D25" s="1" t="s">
        <v>52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79</v>
      </c>
      <c r="D26" s="1" t="s">
        <v>52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80</v>
      </c>
      <c r="C27" s="1"/>
      <c r="D27" s="1" t="s">
        <v>52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81</v>
      </c>
      <c r="C28" s="1"/>
      <c r="D28" s="1" t="s">
        <v>65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82</v>
      </c>
      <c r="D29" s="1" t="s">
        <v>52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83</v>
      </c>
      <c r="D30" s="1" t="s">
        <v>52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84</v>
      </c>
      <c r="D31" s="1" t="s">
        <v>52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85</v>
      </c>
      <c r="D32" s="1" t="s">
        <v>86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87</v>
      </c>
      <c r="C33" s="1"/>
      <c r="D33" s="1" t="s">
        <v>88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89</v>
      </c>
      <c r="D34" s="1" t="s">
        <v>52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90</v>
      </c>
      <c r="D35" s="1" t="s">
        <v>52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91</v>
      </c>
      <c r="D36" s="1" t="s">
        <v>69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92</v>
      </c>
      <c r="C37" s="1"/>
      <c r="D37" s="1" t="s">
        <v>88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93</v>
      </c>
      <c r="C38" s="1"/>
      <c r="D38" s="1" t="s">
        <v>52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94</v>
      </c>
      <c r="D39" s="1" t="s">
        <v>65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95</v>
      </c>
      <c r="D40" s="1" t="s">
        <v>52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96</v>
      </c>
      <c r="D41" s="1" t="s">
        <v>69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97</v>
      </c>
      <c r="D42" s="1" t="s">
        <v>52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98</v>
      </c>
      <c r="D43" s="1" t="s">
        <v>52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99</v>
      </c>
      <c r="D44" s="1" t="s">
        <v>52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100</v>
      </c>
      <c r="D45" s="1" t="s">
        <v>52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101</v>
      </c>
      <c r="D46" s="1" t="s">
        <v>102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103</v>
      </c>
      <c r="D47" s="1" t="s">
        <v>58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104</v>
      </c>
      <c r="D48" s="1" t="s">
        <v>52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105</v>
      </c>
      <c r="C49" s="1"/>
      <c r="D49" s="1" t="s">
        <v>69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106</v>
      </c>
      <c r="D50" s="1" t="s">
        <v>52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107</v>
      </c>
      <c r="D51" s="1" t="s">
        <v>58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108</v>
      </c>
      <c r="D52" s="1" t="s">
        <v>52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109</v>
      </c>
      <c r="D53" s="1" t="s">
        <v>52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110</v>
      </c>
      <c r="C54" s="1"/>
      <c r="D54" s="1" t="s">
        <v>102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111</v>
      </c>
      <c r="D55" s="1" t="s">
        <v>58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112</v>
      </c>
      <c r="C56" s="1"/>
      <c r="D56" s="1" t="s">
        <v>86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113</v>
      </c>
      <c r="D57" s="1" t="s">
        <v>65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114</v>
      </c>
      <c r="D58" s="1" t="s">
        <v>52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115</v>
      </c>
      <c r="D59" s="1" t="s">
        <v>52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116</v>
      </c>
      <c r="D60" s="1" t="s">
        <v>102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117</v>
      </c>
      <c r="D61" s="1" t="s">
        <v>65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118</v>
      </c>
      <c r="D62" s="1" t="s">
        <v>69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119</v>
      </c>
      <c r="D63" s="1" t="s">
        <v>58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120</v>
      </c>
      <c r="D64" s="1" t="s">
        <v>58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121</v>
      </c>
      <c r="D65" s="1" t="s">
        <v>52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122</v>
      </c>
      <c r="D66" s="1" t="s">
        <v>52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123</v>
      </c>
      <c r="D67" s="1" t="s">
        <v>58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124</v>
      </c>
      <c r="D68" s="1" t="s">
        <v>52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125</v>
      </c>
      <c r="C69" s="1"/>
      <c r="D69" s="1" t="s">
        <v>69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126</v>
      </c>
      <c r="D70" s="1" t="s">
        <v>58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127</v>
      </c>
      <c r="D71" s="1" t="s">
        <v>128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129</v>
      </c>
      <c r="D72" s="1" t="s">
        <v>69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130</v>
      </c>
      <c r="D73" s="1" t="s">
        <v>58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131</v>
      </c>
      <c r="C74" s="1"/>
      <c r="D74" s="1" t="s">
        <v>69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132</v>
      </c>
      <c r="D75" s="1" t="s">
        <v>58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133</v>
      </c>
      <c r="D76" s="1" t="s">
        <v>52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134</v>
      </c>
      <c r="D77" s="1" t="s">
        <v>102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135</v>
      </c>
      <c r="C78" s="1"/>
      <c r="D78" s="1" t="s">
        <v>86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136</v>
      </c>
      <c r="D79" s="1" t="s">
        <v>65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137</v>
      </c>
      <c r="D80" s="1" t="s">
        <v>65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138</v>
      </c>
      <c r="D81" s="1" t="s">
        <v>86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139</v>
      </c>
      <c r="D82" s="1" t="s">
        <v>65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140</v>
      </c>
      <c r="D83" s="1" t="s">
        <v>52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141</v>
      </c>
      <c r="C84" s="1"/>
      <c r="D84" s="1" t="s">
        <v>102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142</v>
      </c>
      <c r="C85" s="1"/>
      <c r="D85" s="1" t="s">
        <v>65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143</v>
      </c>
      <c r="C86" s="1"/>
      <c r="D86" s="1" t="s">
        <v>58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144</v>
      </c>
      <c r="D87" s="1" t="s">
        <v>65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145</v>
      </c>
      <c r="D88" s="1" t="s">
        <v>65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146</v>
      </c>
      <c r="D89" s="1" t="s">
        <v>86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147</v>
      </c>
      <c r="C90" s="1"/>
      <c r="D90" s="1" t="s">
        <v>86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148</v>
      </c>
      <c r="D91" s="1" t="s">
        <v>69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149</v>
      </c>
      <c r="D92" s="1" t="s">
        <v>86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150</v>
      </c>
      <c r="C93" s="1"/>
      <c r="D93" s="1" t="s">
        <v>128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151</v>
      </c>
      <c r="D94" s="1" t="s">
        <v>65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152</v>
      </c>
      <c r="D95" s="1" t="s">
        <v>52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153</v>
      </c>
      <c r="D96" s="1" t="s">
        <v>86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154</v>
      </c>
      <c r="C97" s="1"/>
      <c r="D97" s="1" t="s">
        <v>69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155</v>
      </c>
      <c r="C98" s="1"/>
      <c r="D98" s="1" t="s">
        <v>156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157</v>
      </c>
      <c r="D99" s="1" t="s">
        <v>58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158</v>
      </c>
      <c r="D100" s="1" t="s">
        <v>52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159</v>
      </c>
      <c r="D101" s="1" t="s">
        <v>65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160</v>
      </c>
      <c r="D102" s="1" t="s">
        <v>86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161</v>
      </c>
      <c r="D103" s="1" t="s">
        <v>88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162</v>
      </c>
      <c r="D104" s="1" t="s">
        <v>102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163</v>
      </c>
      <c r="D105" s="1" t="s">
        <v>69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164</v>
      </c>
      <c r="D106" s="1" t="s">
        <v>86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165</v>
      </c>
      <c r="D107" s="1" t="s">
        <v>128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166</v>
      </c>
      <c r="D108" s="1" t="s">
        <v>102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167</v>
      </c>
      <c r="D109" s="1" t="s">
        <v>86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168</v>
      </c>
      <c r="D110" s="1" t="s">
        <v>102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169</v>
      </c>
      <c r="C111" s="1"/>
      <c r="D111" s="1" t="s">
        <v>88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170</v>
      </c>
      <c r="D112" s="1" t="s">
        <v>58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171</v>
      </c>
      <c r="D113" s="1" t="s">
        <v>52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172</v>
      </c>
      <c r="D114" s="1" t="s">
        <v>52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173</v>
      </c>
      <c r="C115" s="1"/>
      <c r="D115" s="1" t="s">
        <v>69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174</v>
      </c>
      <c r="D116" s="1" t="s">
        <v>88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175</v>
      </c>
      <c r="D117" s="1" t="s">
        <v>52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176</v>
      </c>
      <c r="C118" s="1"/>
      <c r="D118" s="1" t="s">
        <v>69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177</v>
      </c>
      <c r="D119" s="1" t="s">
        <v>65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178</v>
      </c>
      <c r="D120" s="1" t="s">
        <v>69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179</v>
      </c>
      <c r="D121" s="1" t="s">
        <v>102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180</v>
      </c>
      <c r="D122" s="1" t="s">
        <v>65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181</v>
      </c>
      <c r="D123" s="1" t="s">
        <v>69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182</v>
      </c>
      <c r="D124" s="1" t="s">
        <v>86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183</v>
      </c>
      <c r="D125" s="1" t="s">
        <v>65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184</v>
      </c>
      <c r="D126" s="1" t="s">
        <v>52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185</v>
      </c>
      <c r="D127" s="1" t="s">
        <v>65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186</v>
      </c>
      <c r="D128" s="1" t="s">
        <v>52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187</v>
      </c>
      <c r="C129" s="1"/>
      <c r="D129" s="1" t="s">
        <v>102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188</v>
      </c>
      <c r="D130" s="1" t="s">
        <v>69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189</v>
      </c>
      <c r="D131" s="1" t="s">
        <v>102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190</v>
      </c>
      <c r="D132" s="1" t="s">
        <v>52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191</v>
      </c>
      <c r="D133" s="1" t="s">
        <v>52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192</v>
      </c>
      <c r="D134" s="1" t="s">
        <v>65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193</v>
      </c>
      <c r="D135" s="1" t="s">
        <v>86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194</v>
      </c>
      <c r="D136" s="1" t="s">
        <v>52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195</v>
      </c>
      <c r="C137" s="1"/>
      <c r="D137" s="1" t="s">
        <v>69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196</v>
      </c>
      <c r="D138" s="1" t="s">
        <v>86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197</v>
      </c>
      <c r="D139" s="1" t="s">
        <v>52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198</v>
      </c>
      <c r="D140" s="1" t="s">
        <v>65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199</v>
      </c>
      <c r="D141" s="1" t="s">
        <v>156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200</v>
      </c>
      <c r="D142" s="1" t="s">
        <v>52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201</v>
      </c>
      <c r="C143" s="1"/>
      <c r="D143" s="1" t="s">
        <v>88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202</v>
      </c>
      <c r="C144" s="1"/>
      <c r="D144" s="1" t="s">
        <v>88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203</v>
      </c>
      <c r="C145" s="1"/>
      <c r="D145" s="1" t="s">
        <v>88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204</v>
      </c>
      <c r="C146" s="1"/>
      <c r="D146" s="1" t="s">
        <v>156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205</v>
      </c>
      <c r="D147" s="1" t="s">
        <v>69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206</v>
      </c>
      <c r="D148" s="1" t="s">
        <v>102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207</v>
      </c>
      <c r="D149" s="1" t="s">
        <v>102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208</v>
      </c>
      <c r="D150" s="1" t="s">
        <v>65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209</v>
      </c>
      <c r="C151" s="1"/>
      <c r="D151" s="1" t="s">
        <v>88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210</v>
      </c>
      <c r="D152" s="1" t="s">
        <v>86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211</v>
      </c>
      <c r="D153" s="1" t="s">
        <v>156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212</v>
      </c>
      <c r="D154" s="1" t="s">
        <v>69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213</v>
      </c>
      <c r="D155" s="1" t="s">
        <v>156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214</v>
      </c>
      <c r="D156" s="1" t="s">
        <v>86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215</v>
      </c>
      <c r="D157" s="1" t="s">
        <v>128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216</v>
      </c>
      <c r="C158" s="1"/>
      <c r="D158" s="1" t="s">
        <v>88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217</v>
      </c>
      <c r="D159" s="1" t="s">
        <v>69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218</v>
      </c>
      <c r="D160" s="1" t="s">
        <v>52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219</v>
      </c>
      <c r="D161" s="1" t="s">
        <v>88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220</v>
      </c>
      <c r="D162" s="1" t="s">
        <v>156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221</v>
      </c>
      <c r="D163" s="1" t="s">
        <v>88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222</v>
      </c>
      <c r="D164" s="1" t="s">
        <v>65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223</v>
      </c>
      <c r="D165" s="1" t="s">
        <v>86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224</v>
      </c>
      <c r="D166" s="1" t="s">
        <v>52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225</v>
      </c>
      <c r="D167" s="1" t="s">
        <v>88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226</v>
      </c>
      <c r="C168" s="1"/>
      <c r="D168" s="1" t="s">
        <v>88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227</v>
      </c>
      <c r="D169" s="1" t="s">
        <v>58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228</v>
      </c>
      <c r="D170" s="1" t="s">
        <v>102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229</v>
      </c>
      <c r="D171" s="1" t="s">
        <v>86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230</v>
      </c>
      <c r="D172" s="1" t="s">
        <v>102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231</v>
      </c>
      <c r="D173" s="1" t="s">
        <v>86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232</v>
      </c>
      <c r="D174" s="1" t="s">
        <v>86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233</v>
      </c>
      <c r="D175" s="1" t="s">
        <v>86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234</v>
      </c>
      <c r="D176" s="1" t="s">
        <v>65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235</v>
      </c>
      <c r="C177" s="1"/>
      <c r="D177" s="1" t="s">
        <v>88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236</v>
      </c>
      <c r="D178" s="1" t="s">
        <v>102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237</v>
      </c>
      <c r="D179" s="1" t="s">
        <v>69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238</v>
      </c>
      <c r="D180" s="1" t="s">
        <v>156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239</v>
      </c>
      <c r="D181" s="1" t="s">
        <v>65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240</v>
      </c>
      <c r="D182" s="1" t="s">
        <v>88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241</v>
      </c>
      <c r="D183" s="1" t="s">
        <v>52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242</v>
      </c>
      <c r="D184" s="1" t="s">
        <v>52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243</v>
      </c>
      <c r="D185" s="1" t="s">
        <v>88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244</v>
      </c>
      <c r="D186" s="1" t="s">
        <v>86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245</v>
      </c>
      <c r="D187" s="1" t="s">
        <v>102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246</v>
      </c>
      <c r="D188" s="1" t="s">
        <v>52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247</v>
      </c>
      <c r="D189" s="1" t="s">
        <v>65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248</v>
      </c>
      <c r="D190" s="1" t="s">
        <v>86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249</v>
      </c>
      <c r="D191" s="1" t="s">
        <v>65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250</v>
      </c>
      <c r="D192" s="1" t="s">
        <v>65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251</v>
      </c>
      <c r="D193" s="1" t="s">
        <v>65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252</v>
      </c>
      <c r="D194" s="1" t="s">
        <v>65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253</v>
      </c>
      <c r="C195" s="1"/>
      <c r="D195" s="1" t="s">
        <v>102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254</v>
      </c>
      <c r="D196" s="1" t="s">
        <v>156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255</v>
      </c>
      <c r="D197" s="1" t="s">
        <v>88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256</v>
      </c>
      <c r="D198" s="1" t="s">
        <v>65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257</v>
      </c>
      <c r="D199" s="1" t="s">
        <v>128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258</v>
      </c>
      <c r="D200" s="1" t="s">
        <v>86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259</v>
      </c>
      <c r="D201" s="1" t="s">
        <v>128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260</v>
      </c>
      <c r="D202" s="1" t="s">
        <v>128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261</v>
      </c>
      <c r="D203" s="1" t="s">
        <v>65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262</v>
      </c>
      <c r="D204" s="1" t="s">
        <v>156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263</v>
      </c>
      <c r="D205" s="1" t="s">
        <v>88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264</v>
      </c>
      <c r="D206" s="1" t="s">
        <v>102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265</v>
      </c>
      <c r="D207" s="1" t="s">
        <v>65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266</v>
      </c>
      <c r="D208" s="1" t="s">
        <v>86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267</v>
      </c>
      <c r="D209" s="1" t="s">
        <v>65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268</v>
      </c>
      <c r="D210" s="1" t="s">
        <v>128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269</v>
      </c>
      <c r="D211" s="1" t="s">
        <v>128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270</v>
      </c>
      <c r="C212" s="1"/>
      <c r="D212" s="1" t="s">
        <v>128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271</v>
      </c>
      <c r="D213" s="1" t="s">
        <v>156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272</v>
      </c>
      <c r="D214" s="1" t="s">
        <v>102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273</v>
      </c>
      <c r="D215" s="1" t="s">
        <v>86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274</v>
      </c>
      <c r="D216" s="1" t="s">
        <v>65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275</v>
      </c>
      <c r="D217" s="1" t="s">
        <v>65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276</v>
      </c>
      <c r="C218" s="1"/>
      <c r="D218" s="1" t="s">
        <v>156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277</v>
      </c>
      <c r="D219" s="1" t="s">
        <v>86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278</v>
      </c>
      <c r="D220" s="1" t="s">
        <v>128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279</v>
      </c>
      <c r="D221" s="1" t="s">
        <v>102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280</v>
      </c>
      <c r="D222" s="1" t="s">
        <v>52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281</v>
      </c>
      <c r="D223" s="1" t="s">
        <v>86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282</v>
      </c>
      <c r="D224" s="1" t="s">
        <v>128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283</v>
      </c>
      <c r="D225" s="1" t="s">
        <v>86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284</v>
      </c>
      <c r="C226" s="1"/>
      <c r="D226" s="1" t="s">
        <v>128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285</v>
      </c>
      <c r="D227" s="1" t="s">
        <v>88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286</v>
      </c>
      <c r="C228" s="1"/>
      <c r="D228" s="1" t="s">
        <v>69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287</v>
      </c>
      <c r="D229" s="1" t="s">
        <v>128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288</v>
      </c>
      <c r="D230" s="1" t="s">
        <v>86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289</v>
      </c>
      <c r="D231" s="1" t="s">
        <v>86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290</v>
      </c>
      <c r="D232" s="1" t="s">
        <v>128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291</v>
      </c>
      <c r="D233" s="1" t="s">
        <v>65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292</v>
      </c>
      <c r="D234" s="1" t="s">
        <v>86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293</v>
      </c>
      <c r="D235" s="1" t="s">
        <v>52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294</v>
      </c>
      <c r="D236" s="1" t="s">
        <v>128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295</v>
      </c>
      <c r="D237" s="1" t="s">
        <v>128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296</v>
      </c>
      <c r="D238" s="1" t="s">
        <v>88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297</v>
      </c>
      <c r="C239" s="1"/>
      <c r="D239" s="1" t="s">
        <v>88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298</v>
      </c>
      <c r="D240" s="1" t="s">
        <v>156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299</v>
      </c>
      <c r="D241" s="1" t="s">
        <v>128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300</v>
      </c>
      <c r="D242" s="1" t="s">
        <v>102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301</v>
      </c>
      <c r="D243" s="1" t="s">
        <v>156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302</v>
      </c>
      <c r="D244" s="1" t="s">
        <v>86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303</v>
      </c>
      <c r="D245" s="1" t="s">
        <v>128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304</v>
      </c>
      <c r="D246" s="1" t="s">
        <v>52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305</v>
      </c>
      <c r="D247" s="1" t="s">
        <v>156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306</v>
      </c>
      <c r="D248" s="1" t="s">
        <v>156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307</v>
      </c>
      <c r="D249" s="1" t="s">
        <v>88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308</v>
      </c>
      <c r="D250" s="1" t="s">
        <v>102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309</v>
      </c>
      <c r="D251" s="1" t="s">
        <v>128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310</v>
      </c>
      <c r="D252" s="1" t="s">
        <v>65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311</v>
      </c>
      <c r="D253" s="1" t="s">
        <v>156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312</v>
      </c>
      <c r="D254" s="1" t="s">
        <v>128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313</v>
      </c>
      <c r="D255" s="1" t="s">
        <v>156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314</v>
      </c>
      <c r="D256" s="1" t="s">
        <v>65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315</v>
      </c>
      <c r="D257" s="1" t="s">
        <v>65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316</v>
      </c>
      <c r="D258" s="1" t="s">
        <v>65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317</v>
      </c>
      <c r="D259" s="1" t="s">
        <v>86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318</v>
      </c>
      <c r="D260" s="1" t="s">
        <v>128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319</v>
      </c>
      <c r="D261" s="1" t="s">
        <v>156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320</v>
      </c>
      <c r="D262" s="1" t="s">
        <v>128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321</v>
      </c>
      <c r="D263" s="1" t="s">
        <v>156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322</v>
      </c>
      <c r="D264" s="1" t="s">
        <v>52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323</v>
      </c>
      <c r="D265" s="1" t="s">
        <v>65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324</v>
      </c>
      <c r="D266" s="1" t="s">
        <v>128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325</v>
      </c>
      <c r="D267" s="1" t="s">
        <v>52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326</v>
      </c>
      <c r="D268" s="1" t="s">
        <v>86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327</v>
      </c>
      <c r="D269" s="1" t="s">
        <v>156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328</v>
      </c>
      <c r="D270" s="1" t="s">
        <v>128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329</v>
      </c>
      <c r="D271" s="1" t="s">
        <v>156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330</v>
      </c>
      <c r="D272" s="1" t="s">
        <v>128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331</v>
      </c>
      <c r="D273" s="1" t="s">
        <v>86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332</v>
      </c>
      <c r="D274" s="1" t="s">
        <v>128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333</v>
      </c>
      <c r="D275" s="1" t="s">
        <v>128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334</v>
      </c>
      <c r="D276" s="1" t="s">
        <v>128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335</v>
      </c>
      <c r="D277" s="1" t="s">
        <v>128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336</v>
      </c>
      <c r="D278" s="1" t="s">
        <v>86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337</v>
      </c>
      <c r="D279" s="1" t="s">
        <v>52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338</v>
      </c>
      <c r="D280" s="1" t="s">
        <v>128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339</v>
      </c>
      <c r="D281" s="1" t="s">
        <v>86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340</v>
      </c>
      <c r="D282" s="1" t="s">
        <v>65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341</v>
      </c>
      <c r="D283" s="1" t="s">
        <v>128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342</v>
      </c>
      <c r="D284" s="1" t="s">
        <v>65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343</v>
      </c>
      <c r="D285" s="1" t="s">
        <v>65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344</v>
      </c>
      <c r="D286" s="1" t="s">
        <v>52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345</v>
      </c>
      <c r="D287" s="1" t="s">
        <v>52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346</v>
      </c>
      <c r="C288" s="1"/>
      <c r="D288" s="1" t="s">
        <v>69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347</v>
      </c>
      <c r="D289" s="1" t="s">
        <v>88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348</v>
      </c>
      <c r="D290" s="1" t="s">
        <v>156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349</v>
      </c>
      <c r="D291" s="1" t="s">
        <v>86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350</v>
      </c>
      <c r="D292" s="1" t="s">
        <v>65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351</v>
      </c>
      <c r="D293" s="1" t="s">
        <v>65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352</v>
      </c>
      <c r="D294" s="1" t="s">
        <v>128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353</v>
      </c>
      <c r="D295" s="1" t="s">
        <v>128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354</v>
      </c>
      <c r="D296" s="1" t="s">
        <v>102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355</v>
      </c>
      <c r="D297" s="1" t="s">
        <v>156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356</v>
      </c>
      <c r="D298" s="1" t="s">
        <v>128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357</v>
      </c>
      <c r="D299" s="1" t="s">
        <v>69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358</v>
      </c>
      <c r="D300" s="1" t="s">
        <v>128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359</v>
      </c>
      <c r="D301" s="1" t="s">
        <v>69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360</v>
      </c>
      <c r="D302" s="1" t="s">
        <v>128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361</v>
      </c>
      <c r="D303" s="1" t="s">
        <v>128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362</v>
      </c>
      <c r="D304" s="1" t="s">
        <v>156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363</v>
      </c>
      <c r="D305" s="1" t="s">
        <v>128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364</v>
      </c>
      <c r="D306" s="1" t="s">
        <v>156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365</v>
      </c>
      <c r="D307" s="1" t="s">
        <v>128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366</v>
      </c>
      <c r="D308" s="1" t="s">
        <v>88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367</v>
      </c>
      <c r="D309" s="1" t="s">
        <v>128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368</v>
      </c>
      <c r="D310" s="1" t="s">
        <v>65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369</v>
      </c>
      <c r="D311" s="1" t="s">
        <v>65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370</v>
      </c>
      <c r="D312" s="1" t="s">
        <v>128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371</v>
      </c>
      <c r="D313" s="1" t="s">
        <v>128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372</v>
      </c>
      <c r="D314" s="1" t="s">
        <v>128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373</v>
      </c>
      <c r="D315" s="1" t="s">
        <v>102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374</v>
      </c>
      <c r="D316" s="1" t="s">
        <v>156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375</v>
      </c>
      <c r="D317" s="1" t="s">
        <v>128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376</v>
      </c>
      <c r="D318" s="1" t="s">
        <v>88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377</v>
      </c>
      <c r="D319" s="1" t="s">
        <v>128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378</v>
      </c>
      <c r="D320" s="1" t="s">
        <v>88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379</v>
      </c>
      <c r="D321" s="1" t="s">
        <v>88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380</v>
      </c>
      <c r="D322" s="1" t="s">
        <v>128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381</v>
      </c>
      <c r="D323" s="1" t="s">
        <v>86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382</v>
      </c>
      <c r="D324" s="1" t="s">
        <v>86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383</v>
      </c>
      <c r="D325" s="1" t="s">
        <v>128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384</v>
      </c>
      <c r="D326" s="1" t="s">
        <v>128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385</v>
      </c>
      <c r="D327" s="1" t="s">
        <v>156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386</v>
      </c>
      <c r="D328" s="1" t="s">
        <v>156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387</v>
      </c>
      <c r="D329" s="1" t="s">
        <v>128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388</v>
      </c>
      <c r="D330" s="1" t="s">
        <v>128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389</v>
      </c>
      <c r="D331" s="1" t="s">
        <v>128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390</v>
      </c>
      <c r="C332" s="1"/>
      <c r="D332" s="1" t="s">
        <v>156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391</v>
      </c>
      <c r="D333" s="1" t="s">
        <v>128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392</v>
      </c>
      <c r="D334" s="1" t="s">
        <v>86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393</v>
      </c>
      <c r="D335" s="1" t="s">
        <v>86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394</v>
      </c>
      <c r="D336" s="1" t="s">
        <v>156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395</v>
      </c>
      <c r="D337" s="1" t="s">
        <v>88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396</v>
      </c>
      <c r="D338" s="1" t="s">
        <v>128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397</v>
      </c>
      <c r="D339" s="1" t="s">
        <v>88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398</v>
      </c>
      <c r="D340" s="1" t="s">
        <v>156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399</v>
      </c>
      <c r="D341" s="1" t="s">
        <v>86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400</v>
      </c>
      <c r="D342" s="1" t="s">
        <v>156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401</v>
      </c>
      <c r="D343" s="1" t="s">
        <v>128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402</v>
      </c>
      <c r="D344" s="1" t="s">
        <v>156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403</v>
      </c>
      <c r="D345" s="1" t="s">
        <v>128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404</v>
      </c>
      <c r="D346" s="1" t="s">
        <v>102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405</v>
      </c>
      <c r="D347" s="1" t="s">
        <v>128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406</v>
      </c>
      <c r="D348" s="1" t="s">
        <v>86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407</v>
      </c>
      <c r="D349" s="1" t="s">
        <v>156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408</v>
      </c>
      <c r="D350" s="1" t="s">
        <v>156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409</v>
      </c>
      <c r="D351" s="1" t="s">
        <v>128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410</v>
      </c>
      <c r="D352" s="1" t="s">
        <v>156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411</v>
      </c>
      <c r="D353" s="1" t="s">
        <v>156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412</v>
      </c>
      <c r="D354" s="1" t="s">
        <v>128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413</v>
      </c>
      <c r="D355" s="1" t="s">
        <v>156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414</v>
      </c>
      <c r="D356" s="1" t="s">
        <v>65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415</v>
      </c>
      <c r="D357" s="1" t="s">
        <v>86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416</v>
      </c>
      <c r="D358" s="1" t="s">
        <v>156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417</v>
      </c>
      <c r="D359" s="1" t="s">
        <v>128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418</v>
      </c>
      <c r="D360" s="1" t="s">
        <v>128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419</v>
      </c>
      <c r="D361" s="1" t="s">
        <v>128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420</v>
      </c>
      <c r="D362" s="1" t="s">
        <v>65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421</v>
      </c>
      <c r="D363" s="1" t="s">
        <v>156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422</v>
      </c>
      <c r="D364" s="1" t="s">
        <v>88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423</v>
      </c>
      <c r="D365" s="1" t="s">
        <v>128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424</v>
      </c>
      <c r="D366" s="1" t="s">
        <v>156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425</v>
      </c>
      <c r="D367" s="1" t="s">
        <v>128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426</v>
      </c>
      <c r="D368" s="1" t="s">
        <v>156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427</v>
      </c>
      <c r="D369" s="1" t="s">
        <v>128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428</v>
      </c>
      <c r="D370" s="1" t="s">
        <v>128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429</v>
      </c>
      <c r="D371" s="1" t="s">
        <v>88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430</v>
      </c>
      <c r="D372" s="1" t="s">
        <v>128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431</v>
      </c>
      <c r="D373" s="1" t="s">
        <v>86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432</v>
      </c>
      <c r="D374" s="1" t="s">
        <v>88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433</v>
      </c>
      <c r="D375" s="1" t="s">
        <v>128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434</v>
      </c>
      <c r="D376" s="1" t="s">
        <v>128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435</v>
      </c>
      <c r="D377" s="1" t="s">
        <v>86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436</v>
      </c>
      <c r="D378" s="1" t="s">
        <v>156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437</v>
      </c>
      <c r="D379" s="1" t="s">
        <v>128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438</v>
      </c>
      <c r="D380" s="1" t="s">
        <v>156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439</v>
      </c>
      <c r="D381" s="1" t="s">
        <v>88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440</v>
      </c>
      <c r="D382" s="1" t="s">
        <v>156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441</v>
      </c>
      <c r="D383" s="1" t="s">
        <v>128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442</v>
      </c>
      <c r="D384" s="1" t="s">
        <v>156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443</v>
      </c>
      <c r="D385" s="1" t="s">
        <v>88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444</v>
      </c>
      <c r="D386" s="1" t="s">
        <v>128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445</v>
      </c>
      <c r="D387" s="1" t="s">
        <v>156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446</v>
      </c>
      <c r="D388" s="1" t="s">
        <v>156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447</v>
      </c>
      <c r="D389" s="1" t="s">
        <v>156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448</v>
      </c>
      <c r="D390" s="1" t="s">
        <v>156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449</v>
      </c>
      <c r="D391" s="1" t="s">
        <v>86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450</v>
      </c>
      <c r="D392" s="1" t="s">
        <v>128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451</v>
      </c>
      <c r="D393" s="1" t="s">
        <v>86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452</v>
      </c>
      <c r="D394" s="1" t="s">
        <v>86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453</v>
      </c>
      <c r="D395" s="1" t="s">
        <v>156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454</v>
      </c>
      <c r="D396" s="1" t="s">
        <v>128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455</v>
      </c>
      <c r="D397" s="1" t="s">
        <v>128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456</v>
      </c>
      <c r="D398" s="1" t="s">
        <v>156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457</v>
      </c>
      <c r="D399" s="1" t="s">
        <v>128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458</v>
      </c>
      <c r="D400" s="1" t="s">
        <v>128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459</v>
      </c>
      <c r="D401" s="1" t="s">
        <v>128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460</v>
      </c>
      <c r="D402" s="1" t="s">
        <v>156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461</v>
      </c>
      <c r="D403" s="1" t="s">
        <v>128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462</v>
      </c>
      <c r="D404" s="1" t="s">
        <v>102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463</v>
      </c>
      <c r="D405" s="1" t="s">
        <v>128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464</v>
      </c>
      <c r="D406" s="1" t="s">
        <v>128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465</v>
      </c>
      <c r="D407" s="1" t="s">
        <v>128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466</v>
      </c>
      <c r="D408" s="1" t="s">
        <v>128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467</v>
      </c>
      <c r="D409" s="1" t="s">
        <v>128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468</v>
      </c>
      <c r="D410" s="1" t="s">
        <v>52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469</v>
      </c>
      <c r="D411" s="1" t="s">
        <v>52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470</v>
      </c>
      <c r="D412" s="1" t="s">
        <v>65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471</v>
      </c>
      <c r="D413" s="1" t="s">
        <v>65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472</v>
      </c>
      <c r="D414" s="1" t="s">
        <v>86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473</v>
      </c>
      <c r="D415" s="1" t="s">
        <v>52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474</v>
      </c>
      <c r="D416" s="1" t="s">
        <v>65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475</v>
      </c>
      <c r="D417" s="1" t="s">
        <v>52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476</v>
      </c>
      <c r="D418" s="1" t="s">
        <v>86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477</v>
      </c>
      <c r="D419" s="1" t="s">
        <v>65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478</v>
      </c>
      <c r="D420" s="1" t="s">
        <v>65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479</v>
      </c>
      <c r="D421" s="1" t="s">
        <v>128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480</v>
      </c>
      <c r="D422" s="1" t="s">
        <v>156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481</v>
      </c>
      <c r="D423" s="1" t="s">
        <v>156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482</v>
      </c>
      <c r="D424" s="1" t="s">
        <v>156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483</v>
      </c>
      <c r="D425" s="1" t="s">
        <v>65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484</v>
      </c>
      <c r="D426" s="1" t="s">
        <v>128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485</v>
      </c>
      <c r="D427" s="1" t="s">
        <v>65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486</v>
      </c>
      <c r="D428" s="1" t="s">
        <v>128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487</v>
      </c>
      <c r="D429" s="1" t="s">
        <v>52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488</v>
      </c>
      <c r="D430" s="1" t="s">
        <v>86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489</v>
      </c>
      <c r="D431" s="1" t="s">
        <v>128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490</v>
      </c>
      <c r="D432" s="1" t="s">
        <v>86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491</v>
      </c>
      <c r="D433" s="1" t="s">
        <v>128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492</v>
      </c>
      <c r="D434" s="1" t="s">
        <v>156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493</v>
      </c>
      <c r="D435" s="1" t="s">
        <v>65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494</v>
      </c>
      <c r="D436" s="1" t="s">
        <v>156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495</v>
      </c>
      <c r="D437" s="1" t="s">
        <v>128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496</v>
      </c>
      <c r="D438" s="1" t="s">
        <v>156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497</v>
      </c>
      <c r="D439" s="1" t="s">
        <v>52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498</v>
      </c>
      <c r="D440" s="1" t="s">
        <v>86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499</v>
      </c>
      <c r="D441" s="1" t="s">
        <v>156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500</v>
      </c>
      <c r="D442" s="1" t="s">
        <v>156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501</v>
      </c>
      <c r="D443" t="s">
        <v>65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502</v>
      </c>
      <c r="D444" t="s">
        <v>65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503</v>
      </c>
      <c r="D445" s="1" t="s">
        <v>156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504</v>
      </c>
      <c r="B1" t="s">
        <v>505</v>
      </c>
      <c r="C1" t="s">
        <v>506</v>
      </c>
      <c r="D1" t="s">
        <v>507</v>
      </c>
      <c r="E1" t="s">
        <v>508</v>
      </c>
      <c r="F1" t="s">
        <v>509</v>
      </c>
      <c r="G1" t="s">
        <v>510</v>
      </c>
      <c r="H1" t="s">
        <v>511</v>
      </c>
      <c r="I1" t="s">
        <v>512</v>
      </c>
      <c r="J1" t="s">
        <v>513</v>
      </c>
      <c r="K1" t="s">
        <v>514</v>
      </c>
    </row>
    <row r="2" spans="1:11" x14ac:dyDescent="0.25">
      <c r="A2">
        <v>1</v>
      </c>
      <c r="B2" t="s">
        <v>515</v>
      </c>
    </row>
    <row r="3" spans="1:11" x14ac:dyDescent="0.25">
      <c r="A3">
        <v>2</v>
      </c>
      <c r="B3" t="s">
        <v>516</v>
      </c>
    </row>
    <row r="4" spans="1:11" x14ac:dyDescent="0.25">
      <c r="A4">
        <v>3</v>
      </c>
      <c r="B4" t="s">
        <v>517</v>
      </c>
    </row>
    <row r="5" spans="1:11" x14ac:dyDescent="0.25">
      <c r="A5">
        <v>4</v>
      </c>
      <c r="B5" t="s">
        <v>518</v>
      </c>
    </row>
    <row r="6" spans="1:11" x14ac:dyDescent="0.25">
      <c r="A6">
        <v>5</v>
      </c>
      <c r="B6" t="s">
        <v>519</v>
      </c>
    </row>
    <row r="7" spans="1:11" x14ac:dyDescent="0.25">
      <c r="A7">
        <v>6</v>
      </c>
      <c r="B7" t="s">
        <v>520</v>
      </c>
    </row>
    <row r="8" spans="1:11" x14ac:dyDescent="0.25">
      <c r="A8">
        <v>7</v>
      </c>
      <c r="B8" t="s">
        <v>521</v>
      </c>
    </row>
    <row r="9" spans="1:11" x14ac:dyDescent="0.25">
      <c r="A9">
        <v>8</v>
      </c>
      <c r="B9" t="s">
        <v>522</v>
      </c>
    </row>
    <row r="10" spans="1:11" x14ac:dyDescent="0.25">
      <c r="A10">
        <v>9</v>
      </c>
      <c r="B10" t="s">
        <v>523</v>
      </c>
    </row>
    <row r="11" spans="1:11" x14ac:dyDescent="0.25">
      <c r="A11">
        <v>10</v>
      </c>
      <c r="B11" t="s">
        <v>524</v>
      </c>
    </row>
    <row r="12" spans="1:11" x14ac:dyDescent="0.25">
      <c r="A12">
        <v>11</v>
      </c>
      <c r="B12" t="s">
        <v>525</v>
      </c>
    </row>
    <row r="13" spans="1:11" x14ac:dyDescent="0.25">
      <c r="A13">
        <v>12</v>
      </c>
      <c r="B13" t="s">
        <v>526</v>
      </c>
    </row>
    <row r="14" spans="1:11" x14ac:dyDescent="0.25">
      <c r="A14">
        <v>13</v>
      </c>
      <c r="B14" t="s">
        <v>527</v>
      </c>
    </row>
    <row r="15" spans="1:11" x14ac:dyDescent="0.25">
      <c r="A15">
        <v>14</v>
      </c>
      <c r="B15" t="s">
        <v>528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504</v>
      </c>
      <c r="B1" t="s">
        <v>39</v>
      </c>
      <c r="C1" t="s">
        <v>529</v>
      </c>
      <c r="D1" t="s">
        <v>530</v>
      </c>
      <c r="E1" t="s">
        <v>531</v>
      </c>
    </row>
    <row r="2" spans="1:6" x14ac:dyDescent="0.25">
      <c r="A2">
        <v>7</v>
      </c>
      <c r="B2">
        <v>7</v>
      </c>
      <c r="C2" t="s">
        <v>65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52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86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156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532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128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52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65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128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156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532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86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52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65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86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532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128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156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52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128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86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532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65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156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52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86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156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532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128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65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52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65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532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128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86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156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52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65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86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532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156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128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52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532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86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65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156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128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65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52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86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128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156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532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52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532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65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86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128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156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52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86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65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156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128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532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52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65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86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128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532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156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52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156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86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65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532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128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52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65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86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532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128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156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504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0</v>
      </c>
      <c r="B1" t="s">
        <v>1</v>
      </c>
      <c r="C1" t="s">
        <v>537</v>
      </c>
      <c r="D1" t="s">
        <v>3</v>
      </c>
      <c r="E1" t="s">
        <v>538</v>
      </c>
      <c r="F1" t="s">
        <v>539</v>
      </c>
      <c r="G1" t="s">
        <v>540</v>
      </c>
      <c r="H1" t="s">
        <v>7</v>
      </c>
      <c r="I1" t="s">
        <v>8</v>
      </c>
    </row>
    <row r="2" spans="1:10" x14ac:dyDescent="0.25">
      <c r="B2" t="s">
        <v>15</v>
      </c>
      <c r="G2" t="s">
        <v>541</v>
      </c>
    </row>
    <row r="3" spans="1:10" x14ac:dyDescent="0.25">
      <c r="B3" t="s">
        <v>10</v>
      </c>
    </row>
    <row r="4" spans="1:10" x14ac:dyDescent="0.25">
      <c r="B4" t="s">
        <v>22</v>
      </c>
    </row>
    <row r="5" spans="1:10" x14ac:dyDescent="0.25">
      <c r="B5" t="s">
        <v>20</v>
      </c>
    </row>
    <row r="6" spans="1:10" x14ac:dyDescent="0.25">
      <c r="B6" t="s">
        <v>24</v>
      </c>
    </row>
    <row r="7" spans="1:10" x14ac:dyDescent="0.25">
      <c r="B7" t="s">
        <v>542</v>
      </c>
    </row>
    <row r="10" spans="1:10" x14ac:dyDescent="0.25">
      <c r="A10" t="s">
        <v>9</v>
      </c>
      <c r="B10" t="s">
        <v>543</v>
      </c>
      <c r="C10" t="s">
        <v>544</v>
      </c>
      <c r="D10" t="s">
        <v>545</v>
      </c>
      <c r="E10" t="s">
        <v>538</v>
      </c>
      <c r="F10" t="s">
        <v>539</v>
      </c>
      <c r="G10" t="s">
        <v>546</v>
      </c>
      <c r="H10" t="s">
        <v>547</v>
      </c>
      <c r="I10" t="s">
        <v>548</v>
      </c>
      <c r="J10" t="s">
        <v>549</v>
      </c>
    </row>
    <row r="11" spans="1:10" x14ac:dyDescent="0.25">
      <c r="C11" t="s">
        <v>550</v>
      </c>
      <c r="D11">
        <v>247</v>
      </c>
      <c r="G11" t="s">
        <v>551</v>
      </c>
      <c r="H11" t="s">
        <v>551</v>
      </c>
    </row>
    <row r="12" spans="1:10" x14ac:dyDescent="0.25">
      <c r="C12" t="s">
        <v>552</v>
      </c>
      <c r="D12" t="s">
        <v>553</v>
      </c>
      <c r="G12" t="s">
        <v>554</v>
      </c>
      <c r="H12" t="s">
        <v>554</v>
      </c>
    </row>
    <row r="13" spans="1:10" x14ac:dyDescent="0.25">
      <c r="G13" t="s">
        <v>25</v>
      </c>
      <c r="H13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tabSelected="1" workbookViewId="0">
      <selection activeCell="E5" sqref="E5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  <c r="H1" t="s">
        <v>562</v>
      </c>
    </row>
    <row r="2" spans="1:8" ht="14.25" customHeight="1" x14ac:dyDescent="0.25">
      <c r="A2">
        <v>1</v>
      </c>
      <c r="B2">
        <v>14</v>
      </c>
      <c r="C2" t="str">
        <f>VLOOKUP(B2,teams!$A$1:$B$15,2)</f>
        <v>Tchêltics da Peleia</v>
      </c>
      <c r="D2">
        <v>3</v>
      </c>
      <c r="E2">
        <v>4</v>
      </c>
      <c r="F2">
        <v>5</v>
      </c>
      <c r="G2" t="str">
        <f>VLOOKUP(F2,teams!$A$1:$B$15,2)</f>
        <v>Kaipiras da Gema</v>
      </c>
      <c r="H2">
        <v>1</v>
      </c>
    </row>
    <row r="3" spans="1:8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  <c r="H3">
        <v>1</v>
      </c>
    </row>
    <row r="4" spans="1:8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  <c r="H4">
        <v>1</v>
      </c>
    </row>
    <row r="5" spans="1:8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  <c r="H5">
        <v>1</v>
      </c>
    </row>
    <row r="6" spans="1:8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  <c r="H6">
        <v>1</v>
      </c>
    </row>
    <row r="7" spans="1:8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  <c r="H7">
        <v>1</v>
      </c>
    </row>
    <row r="8" spans="1:8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  <c r="H8">
        <v>1</v>
      </c>
    </row>
    <row r="9" spans="1:8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  <c r="H9">
        <f t="shared" ref="H9:H72" si="0">H2+1</f>
        <v>2</v>
      </c>
    </row>
    <row r="10" spans="1:8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  <c r="H10">
        <f t="shared" si="0"/>
        <v>2</v>
      </c>
    </row>
    <row r="11" spans="1:8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  <c r="H11">
        <f t="shared" si="0"/>
        <v>2</v>
      </c>
    </row>
    <row r="12" spans="1:8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  <c r="H12">
        <f t="shared" si="0"/>
        <v>2</v>
      </c>
    </row>
    <row r="13" spans="1:8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  <c r="H13">
        <f t="shared" si="0"/>
        <v>2</v>
      </c>
    </row>
    <row r="14" spans="1:8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  <c r="H14">
        <f t="shared" si="0"/>
        <v>2</v>
      </c>
    </row>
    <row r="15" spans="1:8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  <c r="H15">
        <f t="shared" si="0"/>
        <v>2</v>
      </c>
    </row>
    <row r="16" spans="1:8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  <c r="H16">
        <f t="shared" si="0"/>
        <v>3</v>
      </c>
    </row>
    <row r="17" spans="1:8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  <c r="H17">
        <f t="shared" si="0"/>
        <v>3</v>
      </c>
    </row>
    <row r="18" spans="1:8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  <c r="H18">
        <f t="shared" si="0"/>
        <v>3</v>
      </c>
    </row>
    <row r="19" spans="1:8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  <c r="H19">
        <f t="shared" si="0"/>
        <v>3</v>
      </c>
    </row>
    <row r="20" spans="1:8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  <c r="H20">
        <f t="shared" si="0"/>
        <v>3</v>
      </c>
    </row>
    <row r="21" spans="1:8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  <c r="H21">
        <f t="shared" si="0"/>
        <v>3</v>
      </c>
    </row>
    <row r="22" spans="1:8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  <c r="H22">
        <f t="shared" si="0"/>
        <v>3</v>
      </c>
    </row>
    <row r="23" spans="1:8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  <c r="H23">
        <f t="shared" si="0"/>
        <v>4</v>
      </c>
    </row>
    <row r="24" spans="1:8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  <c r="H24">
        <f t="shared" si="0"/>
        <v>4</v>
      </c>
    </row>
    <row r="25" spans="1:8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  <c r="H25">
        <f t="shared" si="0"/>
        <v>4</v>
      </c>
    </row>
    <row r="26" spans="1:8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  <c r="H26">
        <f t="shared" si="0"/>
        <v>4</v>
      </c>
    </row>
    <row r="27" spans="1:8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  <c r="H27">
        <f t="shared" si="0"/>
        <v>4</v>
      </c>
    </row>
    <row r="28" spans="1:8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  <c r="H28">
        <f t="shared" si="0"/>
        <v>4</v>
      </c>
    </row>
    <row r="29" spans="1:8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  <c r="H29">
        <f t="shared" si="0"/>
        <v>4</v>
      </c>
    </row>
    <row r="30" spans="1:8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  <c r="H30">
        <f t="shared" si="0"/>
        <v>5</v>
      </c>
    </row>
    <row r="31" spans="1:8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  <c r="H31">
        <f t="shared" si="0"/>
        <v>5</v>
      </c>
    </row>
    <row r="32" spans="1:8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  <c r="H32">
        <f t="shared" si="0"/>
        <v>5</v>
      </c>
    </row>
    <row r="33" spans="1:8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  <c r="H33">
        <f t="shared" si="0"/>
        <v>5</v>
      </c>
    </row>
    <row r="34" spans="1:8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  <c r="H34">
        <f t="shared" si="0"/>
        <v>5</v>
      </c>
    </row>
    <row r="35" spans="1:8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  <c r="H35">
        <f t="shared" si="0"/>
        <v>5</v>
      </c>
    </row>
    <row r="36" spans="1:8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  <c r="H36">
        <f t="shared" si="0"/>
        <v>5</v>
      </c>
    </row>
    <row r="37" spans="1:8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  <c r="H37">
        <f t="shared" si="0"/>
        <v>6</v>
      </c>
    </row>
    <row r="38" spans="1:8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  <c r="H38">
        <f t="shared" si="0"/>
        <v>6</v>
      </c>
    </row>
    <row r="39" spans="1:8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  <c r="H39">
        <f t="shared" si="0"/>
        <v>6</v>
      </c>
    </row>
    <row r="40" spans="1:8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  <c r="H40">
        <f t="shared" si="0"/>
        <v>6</v>
      </c>
    </row>
    <row r="41" spans="1:8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  <c r="H41">
        <f t="shared" si="0"/>
        <v>6</v>
      </c>
    </row>
    <row r="42" spans="1:8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  <c r="H42">
        <f t="shared" si="0"/>
        <v>6</v>
      </c>
    </row>
    <row r="43" spans="1:8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  <c r="H43">
        <f t="shared" si="0"/>
        <v>6</v>
      </c>
    </row>
    <row r="44" spans="1:8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  <c r="H44">
        <f t="shared" si="0"/>
        <v>7</v>
      </c>
    </row>
    <row r="45" spans="1:8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  <c r="H45">
        <f t="shared" si="0"/>
        <v>7</v>
      </c>
    </row>
    <row r="46" spans="1:8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  <c r="H46">
        <f t="shared" si="0"/>
        <v>7</v>
      </c>
    </row>
    <row r="47" spans="1:8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  <c r="H47">
        <f t="shared" si="0"/>
        <v>7</v>
      </c>
    </row>
    <row r="48" spans="1:8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  <c r="H48">
        <f t="shared" si="0"/>
        <v>7</v>
      </c>
    </row>
    <row r="49" spans="1:8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  <c r="H49">
        <f t="shared" si="0"/>
        <v>7</v>
      </c>
    </row>
    <row r="50" spans="1:8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  <c r="H50">
        <f t="shared" si="0"/>
        <v>7</v>
      </c>
    </row>
    <row r="51" spans="1:8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  <c r="H51">
        <f t="shared" si="0"/>
        <v>8</v>
      </c>
    </row>
    <row r="52" spans="1:8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  <c r="H52">
        <f t="shared" si="0"/>
        <v>8</v>
      </c>
    </row>
    <row r="53" spans="1:8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  <c r="H53">
        <f t="shared" si="0"/>
        <v>8</v>
      </c>
    </row>
    <row r="54" spans="1:8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  <c r="H54">
        <f t="shared" si="0"/>
        <v>8</v>
      </c>
    </row>
    <row r="55" spans="1:8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  <c r="H55">
        <f t="shared" si="0"/>
        <v>8</v>
      </c>
    </row>
    <row r="56" spans="1:8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  <c r="H56">
        <f t="shared" si="0"/>
        <v>8</v>
      </c>
    </row>
    <row r="57" spans="1:8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  <c r="H57">
        <f t="shared" si="0"/>
        <v>8</v>
      </c>
    </row>
    <row r="58" spans="1:8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  <c r="H58">
        <f t="shared" si="0"/>
        <v>9</v>
      </c>
    </row>
    <row r="59" spans="1:8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  <c r="H59">
        <f t="shared" si="0"/>
        <v>9</v>
      </c>
    </row>
    <row r="60" spans="1:8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  <c r="H60">
        <f t="shared" si="0"/>
        <v>9</v>
      </c>
    </row>
    <row r="61" spans="1:8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  <c r="H61">
        <f t="shared" si="0"/>
        <v>9</v>
      </c>
    </row>
    <row r="62" spans="1:8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  <c r="H62">
        <f t="shared" si="0"/>
        <v>9</v>
      </c>
    </row>
    <row r="63" spans="1:8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  <c r="H63">
        <f t="shared" si="0"/>
        <v>9</v>
      </c>
    </row>
    <row r="64" spans="1:8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  <c r="H64">
        <f t="shared" si="0"/>
        <v>9</v>
      </c>
    </row>
    <row r="65" spans="1:8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  <c r="H65">
        <f t="shared" si="0"/>
        <v>10</v>
      </c>
    </row>
    <row r="66" spans="1:8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  <c r="H66">
        <f t="shared" si="0"/>
        <v>10</v>
      </c>
    </row>
    <row r="67" spans="1:8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  <c r="H67">
        <f t="shared" si="0"/>
        <v>10</v>
      </c>
    </row>
    <row r="68" spans="1:8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  <c r="H68">
        <f t="shared" si="0"/>
        <v>10</v>
      </c>
    </row>
    <row r="69" spans="1:8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  <c r="H69">
        <f t="shared" si="0"/>
        <v>10</v>
      </c>
    </row>
    <row r="70" spans="1:8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  <c r="H70">
        <f t="shared" si="0"/>
        <v>10</v>
      </c>
    </row>
    <row r="71" spans="1:8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  <c r="H71">
        <f t="shared" si="0"/>
        <v>10</v>
      </c>
    </row>
    <row r="72" spans="1:8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  <c r="H72">
        <f t="shared" si="0"/>
        <v>11</v>
      </c>
    </row>
    <row r="73" spans="1:8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  <c r="H73">
        <f t="shared" ref="H73:H136" si="1">H66+1</f>
        <v>11</v>
      </c>
    </row>
    <row r="74" spans="1:8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  <c r="H74">
        <f t="shared" si="1"/>
        <v>11</v>
      </c>
    </row>
    <row r="75" spans="1:8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  <c r="H75">
        <f t="shared" si="1"/>
        <v>11</v>
      </c>
    </row>
    <row r="76" spans="1:8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  <c r="H76">
        <f t="shared" si="1"/>
        <v>11</v>
      </c>
    </row>
    <row r="77" spans="1:8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  <c r="H77">
        <f t="shared" si="1"/>
        <v>11</v>
      </c>
    </row>
    <row r="78" spans="1:8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  <c r="H78">
        <f t="shared" si="1"/>
        <v>11</v>
      </c>
    </row>
    <row r="79" spans="1:8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  <c r="H79">
        <f t="shared" si="1"/>
        <v>12</v>
      </c>
    </row>
    <row r="80" spans="1:8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  <c r="H80">
        <f t="shared" si="1"/>
        <v>12</v>
      </c>
    </row>
    <row r="81" spans="1:8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  <c r="H81">
        <f t="shared" si="1"/>
        <v>12</v>
      </c>
    </row>
    <row r="82" spans="1:8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  <c r="H82">
        <f t="shared" si="1"/>
        <v>12</v>
      </c>
    </row>
    <row r="83" spans="1:8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  <c r="H83">
        <f t="shared" si="1"/>
        <v>12</v>
      </c>
    </row>
    <row r="84" spans="1:8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  <c r="H84">
        <f t="shared" si="1"/>
        <v>12</v>
      </c>
    </row>
    <row r="85" spans="1:8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  <c r="H85">
        <f t="shared" si="1"/>
        <v>12</v>
      </c>
    </row>
    <row r="86" spans="1:8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  <c r="H86">
        <f t="shared" si="1"/>
        <v>13</v>
      </c>
    </row>
    <row r="87" spans="1:8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  <c r="H87">
        <f t="shared" si="1"/>
        <v>13</v>
      </c>
    </row>
    <row r="88" spans="1:8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  <c r="H88">
        <f t="shared" si="1"/>
        <v>13</v>
      </c>
    </row>
    <row r="89" spans="1:8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  <c r="H89">
        <f t="shared" si="1"/>
        <v>13</v>
      </c>
    </row>
    <row r="90" spans="1:8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  <c r="H90">
        <f t="shared" si="1"/>
        <v>13</v>
      </c>
    </row>
    <row r="91" spans="1:8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  <c r="H91">
        <f t="shared" si="1"/>
        <v>13</v>
      </c>
    </row>
    <row r="92" spans="1:8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  <c r="H92">
        <f t="shared" si="1"/>
        <v>13</v>
      </c>
    </row>
    <row r="93" spans="1:8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  <c r="H93">
        <f t="shared" si="1"/>
        <v>14</v>
      </c>
    </row>
    <row r="94" spans="1:8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  <c r="H94">
        <f t="shared" si="1"/>
        <v>14</v>
      </c>
    </row>
    <row r="95" spans="1:8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  <c r="H95">
        <f t="shared" si="1"/>
        <v>14</v>
      </c>
    </row>
    <row r="96" spans="1:8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  <c r="H96">
        <f t="shared" si="1"/>
        <v>14</v>
      </c>
    </row>
    <row r="97" spans="1:8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  <c r="H97">
        <f t="shared" si="1"/>
        <v>14</v>
      </c>
    </row>
    <row r="98" spans="1:8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  <c r="H98">
        <f t="shared" si="1"/>
        <v>14</v>
      </c>
    </row>
    <row r="99" spans="1:8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  <c r="H99">
        <f t="shared" si="1"/>
        <v>14</v>
      </c>
    </row>
    <row r="100" spans="1:8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  <c r="H100">
        <f t="shared" si="1"/>
        <v>15</v>
      </c>
    </row>
    <row r="101" spans="1:8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  <c r="H101">
        <f t="shared" si="1"/>
        <v>15</v>
      </c>
    </row>
    <row r="102" spans="1:8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  <c r="H102">
        <f t="shared" si="1"/>
        <v>15</v>
      </c>
    </row>
    <row r="103" spans="1:8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  <c r="H103">
        <f t="shared" si="1"/>
        <v>15</v>
      </c>
    </row>
    <row r="104" spans="1:8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  <c r="H104">
        <f t="shared" si="1"/>
        <v>15</v>
      </c>
    </row>
    <row r="105" spans="1:8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  <c r="H105">
        <f t="shared" si="1"/>
        <v>15</v>
      </c>
    </row>
    <row r="106" spans="1:8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  <c r="H106">
        <f t="shared" si="1"/>
        <v>15</v>
      </c>
    </row>
    <row r="107" spans="1:8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  <c r="H107">
        <f t="shared" si="1"/>
        <v>16</v>
      </c>
    </row>
    <row r="108" spans="1:8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  <c r="H108">
        <f t="shared" si="1"/>
        <v>16</v>
      </c>
    </row>
    <row r="109" spans="1:8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  <c r="H109">
        <f t="shared" si="1"/>
        <v>16</v>
      </c>
    </row>
    <row r="110" spans="1:8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  <c r="H110">
        <f t="shared" si="1"/>
        <v>16</v>
      </c>
    </row>
    <row r="111" spans="1:8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  <c r="H111">
        <f t="shared" si="1"/>
        <v>16</v>
      </c>
    </row>
    <row r="112" spans="1:8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  <c r="H112">
        <f t="shared" si="1"/>
        <v>16</v>
      </c>
    </row>
    <row r="113" spans="1:8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  <c r="H113">
        <f t="shared" si="1"/>
        <v>16</v>
      </c>
    </row>
    <row r="114" spans="1:8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  <c r="H114">
        <f t="shared" si="1"/>
        <v>17</v>
      </c>
    </row>
    <row r="115" spans="1:8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  <c r="H115">
        <f t="shared" si="1"/>
        <v>17</v>
      </c>
    </row>
    <row r="116" spans="1:8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  <c r="H116">
        <f t="shared" si="1"/>
        <v>17</v>
      </c>
    </row>
    <row r="117" spans="1:8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  <c r="H117">
        <f t="shared" si="1"/>
        <v>17</v>
      </c>
    </row>
    <row r="118" spans="1:8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  <c r="H118">
        <f t="shared" si="1"/>
        <v>17</v>
      </c>
    </row>
    <row r="119" spans="1:8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  <c r="H119">
        <f t="shared" si="1"/>
        <v>17</v>
      </c>
    </row>
    <row r="120" spans="1:8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  <c r="H120">
        <f t="shared" si="1"/>
        <v>17</v>
      </c>
    </row>
    <row r="121" spans="1:8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  <c r="H121">
        <f t="shared" si="1"/>
        <v>18</v>
      </c>
    </row>
    <row r="122" spans="1:8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  <c r="H122">
        <f t="shared" si="1"/>
        <v>18</v>
      </c>
    </row>
    <row r="123" spans="1:8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  <c r="H123">
        <f t="shared" si="1"/>
        <v>18</v>
      </c>
    </row>
    <row r="124" spans="1:8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  <c r="H124">
        <f t="shared" si="1"/>
        <v>18</v>
      </c>
    </row>
    <row r="125" spans="1:8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  <c r="H125">
        <f t="shared" si="1"/>
        <v>18</v>
      </c>
    </row>
    <row r="126" spans="1:8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  <c r="H126">
        <f t="shared" si="1"/>
        <v>18</v>
      </c>
    </row>
    <row r="127" spans="1:8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  <c r="H127">
        <f t="shared" si="1"/>
        <v>18</v>
      </c>
    </row>
    <row r="128" spans="1:8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  <c r="H128">
        <f t="shared" si="1"/>
        <v>19</v>
      </c>
    </row>
    <row r="129" spans="1:8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  <c r="H129">
        <f t="shared" si="1"/>
        <v>19</v>
      </c>
    </row>
    <row r="130" spans="1:8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  <c r="H130">
        <f t="shared" si="1"/>
        <v>19</v>
      </c>
    </row>
    <row r="131" spans="1:8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  <c r="H131">
        <f t="shared" si="1"/>
        <v>19</v>
      </c>
    </row>
    <row r="132" spans="1:8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  <c r="H132">
        <f t="shared" si="1"/>
        <v>19</v>
      </c>
    </row>
    <row r="133" spans="1:8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  <c r="H133">
        <f t="shared" si="1"/>
        <v>19</v>
      </c>
    </row>
    <row r="134" spans="1:8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  <c r="H134">
        <f t="shared" si="1"/>
        <v>19</v>
      </c>
    </row>
    <row r="135" spans="1:8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  <c r="H135">
        <f t="shared" si="1"/>
        <v>20</v>
      </c>
    </row>
    <row r="136" spans="1:8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  <c r="H136">
        <f t="shared" si="1"/>
        <v>20</v>
      </c>
    </row>
    <row r="137" spans="1:8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  <c r="H137">
        <f t="shared" ref="H137:H200" si="2">H130+1</f>
        <v>20</v>
      </c>
    </row>
    <row r="138" spans="1:8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  <c r="H138">
        <f t="shared" si="2"/>
        <v>20</v>
      </c>
    </row>
    <row r="139" spans="1:8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  <c r="H139">
        <f t="shared" si="2"/>
        <v>20</v>
      </c>
    </row>
    <row r="140" spans="1:8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  <c r="H140">
        <f t="shared" si="2"/>
        <v>20</v>
      </c>
    </row>
    <row r="141" spans="1:8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  <c r="H141">
        <f t="shared" si="2"/>
        <v>20</v>
      </c>
    </row>
    <row r="142" spans="1:8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  <c r="H142">
        <f t="shared" si="2"/>
        <v>21</v>
      </c>
    </row>
    <row r="143" spans="1:8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  <c r="H143">
        <f t="shared" si="2"/>
        <v>21</v>
      </c>
    </row>
    <row r="144" spans="1:8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  <c r="H144">
        <f t="shared" si="2"/>
        <v>21</v>
      </c>
    </row>
    <row r="145" spans="1:8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  <c r="H145">
        <f t="shared" si="2"/>
        <v>21</v>
      </c>
    </row>
    <row r="146" spans="1:8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  <c r="H146">
        <f t="shared" si="2"/>
        <v>21</v>
      </c>
    </row>
    <row r="147" spans="1:8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  <c r="H147">
        <f t="shared" si="2"/>
        <v>21</v>
      </c>
    </row>
    <row r="148" spans="1:8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  <c r="H148">
        <f t="shared" si="2"/>
        <v>21</v>
      </c>
    </row>
    <row r="149" spans="1:8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  <c r="H149">
        <f t="shared" si="2"/>
        <v>22</v>
      </c>
    </row>
    <row r="150" spans="1:8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  <c r="H150">
        <f t="shared" si="2"/>
        <v>22</v>
      </c>
    </row>
    <row r="151" spans="1:8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  <c r="H151">
        <f t="shared" si="2"/>
        <v>22</v>
      </c>
    </row>
    <row r="152" spans="1:8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  <c r="H152">
        <f t="shared" si="2"/>
        <v>22</v>
      </c>
    </row>
    <row r="153" spans="1:8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  <c r="H153">
        <f t="shared" si="2"/>
        <v>22</v>
      </c>
    </row>
    <row r="154" spans="1:8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  <c r="H154">
        <f t="shared" si="2"/>
        <v>22</v>
      </c>
    </row>
    <row r="155" spans="1:8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  <c r="H155">
        <f t="shared" si="2"/>
        <v>22</v>
      </c>
    </row>
    <row r="156" spans="1:8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  <c r="H156">
        <f t="shared" si="2"/>
        <v>23</v>
      </c>
    </row>
    <row r="157" spans="1:8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  <c r="H157">
        <f t="shared" si="2"/>
        <v>23</v>
      </c>
    </row>
    <row r="158" spans="1:8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  <c r="H158">
        <f t="shared" si="2"/>
        <v>23</v>
      </c>
    </row>
    <row r="159" spans="1:8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  <c r="H159">
        <f t="shared" si="2"/>
        <v>23</v>
      </c>
    </row>
    <row r="160" spans="1:8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  <c r="H160">
        <f t="shared" si="2"/>
        <v>23</v>
      </c>
    </row>
    <row r="161" spans="1:8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  <c r="H161">
        <f t="shared" si="2"/>
        <v>23</v>
      </c>
    </row>
    <row r="162" spans="1:8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  <c r="H162">
        <f t="shared" si="2"/>
        <v>23</v>
      </c>
    </row>
    <row r="163" spans="1:8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  <c r="H163">
        <f t="shared" si="2"/>
        <v>24</v>
      </c>
    </row>
    <row r="164" spans="1:8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  <c r="H164">
        <f t="shared" si="2"/>
        <v>24</v>
      </c>
    </row>
    <row r="165" spans="1:8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  <c r="H165">
        <f t="shared" si="2"/>
        <v>24</v>
      </c>
    </row>
    <row r="166" spans="1:8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  <c r="H166">
        <f t="shared" si="2"/>
        <v>24</v>
      </c>
    </row>
    <row r="167" spans="1:8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  <c r="H167">
        <f t="shared" si="2"/>
        <v>24</v>
      </c>
    </row>
    <row r="168" spans="1:8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  <c r="H168">
        <f t="shared" si="2"/>
        <v>24</v>
      </c>
    </row>
    <row r="169" spans="1:8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  <c r="H169">
        <f t="shared" si="2"/>
        <v>24</v>
      </c>
    </row>
    <row r="170" spans="1:8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  <c r="H170">
        <f t="shared" si="2"/>
        <v>25</v>
      </c>
    </row>
    <row r="171" spans="1:8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  <c r="H171">
        <f t="shared" si="2"/>
        <v>25</v>
      </c>
    </row>
    <row r="172" spans="1:8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  <c r="H172">
        <f t="shared" si="2"/>
        <v>25</v>
      </c>
    </row>
    <row r="173" spans="1:8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  <c r="H173">
        <f t="shared" si="2"/>
        <v>25</v>
      </c>
    </row>
    <row r="174" spans="1:8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  <c r="H174">
        <f t="shared" si="2"/>
        <v>25</v>
      </c>
    </row>
    <row r="175" spans="1:8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  <c r="H175">
        <f t="shared" si="2"/>
        <v>25</v>
      </c>
    </row>
    <row r="176" spans="1:8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  <c r="H176">
        <f t="shared" si="2"/>
        <v>25</v>
      </c>
    </row>
    <row r="177" spans="1:8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  <c r="H177">
        <f t="shared" si="2"/>
        <v>26</v>
      </c>
    </row>
    <row r="178" spans="1:8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  <c r="H178">
        <f t="shared" si="2"/>
        <v>26</v>
      </c>
    </row>
    <row r="179" spans="1:8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  <c r="H179">
        <f t="shared" si="2"/>
        <v>26</v>
      </c>
    </row>
    <row r="180" spans="1:8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  <c r="H180">
        <f t="shared" si="2"/>
        <v>26</v>
      </c>
    </row>
    <row r="181" spans="1:8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  <c r="H181">
        <f t="shared" si="2"/>
        <v>26</v>
      </c>
    </row>
    <row r="182" spans="1:8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  <c r="H182">
        <f t="shared" si="2"/>
        <v>26</v>
      </c>
    </row>
    <row r="183" spans="1:8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  <c r="H183">
        <f t="shared" si="2"/>
        <v>26</v>
      </c>
    </row>
    <row r="184" spans="1:8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  <c r="H184">
        <f t="shared" si="2"/>
        <v>27</v>
      </c>
    </row>
    <row r="185" spans="1:8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  <c r="H185">
        <f t="shared" si="2"/>
        <v>27</v>
      </c>
    </row>
    <row r="186" spans="1:8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  <c r="H186">
        <f t="shared" si="2"/>
        <v>27</v>
      </c>
    </row>
    <row r="187" spans="1:8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  <c r="H187">
        <f t="shared" si="2"/>
        <v>27</v>
      </c>
    </row>
    <row r="188" spans="1:8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  <c r="H188">
        <f t="shared" si="2"/>
        <v>27</v>
      </c>
    </row>
    <row r="189" spans="1:8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  <c r="H189">
        <f t="shared" si="2"/>
        <v>27</v>
      </c>
    </row>
    <row r="190" spans="1:8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  <c r="H190">
        <f t="shared" si="2"/>
        <v>27</v>
      </c>
    </row>
    <row r="191" spans="1:8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  <c r="H191">
        <f t="shared" si="2"/>
        <v>28</v>
      </c>
    </row>
    <row r="192" spans="1:8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  <c r="H192">
        <f t="shared" si="2"/>
        <v>28</v>
      </c>
    </row>
    <row r="193" spans="1:8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  <c r="H193">
        <f t="shared" si="2"/>
        <v>28</v>
      </c>
    </row>
    <row r="194" spans="1:8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  <c r="H194">
        <f t="shared" si="2"/>
        <v>28</v>
      </c>
    </row>
    <row r="195" spans="1:8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  <c r="H195">
        <f t="shared" si="2"/>
        <v>28</v>
      </c>
    </row>
    <row r="196" spans="1:8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  <c r="H196">
        <f t="shared" si="2"/>
        <v>28</v>
      </c>
    </row>
    <row r="197" spans="1:8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  <c r="H197">
        <f t="shared" si="2"/>
        <v>28</v>
      </c>
    </row>
    <row r="198" spans="1:8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  <c r="H198">
        <f t="shared" si="2"/>
        <v>29</v>
      </c>
    </row>
    <row r="199" spans="1:8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  <c r="H199">
        <f t="shared" si="2"/>
        <v>29</v>
      </c>
    </row>
    <row r="200" spans="1:8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  <c r="H200">
        <f t="shared" si="2"/>
        <v>29</v>
      </c>
    </row>
    <row r="201" spans="1:8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  <c r="H201">
        <f t="shared" ref="H201:H264" si="3">H194+1</f>
        <v>29</v>
      </c>
    </row>
    <row r="202" spans="1:8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  <c r="H202">
        <f t="shared" si="3"/>
        <v>29</v>
      </c>
    </row>
    <row r="203" spans="1:8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  <c r="H203">
        <f t="shared" si="3"/>
        <v>29</v>
      </c>
    </row>
    <row r="204" spans="1:8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  <c r="H204">
        <f t="shared" si="3"/>
        <v>29</v>
      </c>
    </row>
    <row r="205" spans="1:8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  <c r="H205">
        <f t="shared" si="3"/>
        <v>30</v>
      </c>
    </row>
    <row r="206" spans="1:8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  <c r="H206">
        <f t="shared" si="3"/>
        <v>30</v>
      </c>
    </row>
    <row r="207" spans="1:8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  <c r="H207">
        <f t="shared" si="3"/>
        <v>30</v>
      </c>
    </row>
    <row r="208" spans="1:8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  <c r="H208">
        <f t="shared" si="3"/>
        <v>30</v>
      </c>
    </row>
    <row r="209" spans="1:8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  <c r="H209">
        <f t="shared" si="3"/>
        <v>30</v>
      </c>
    </row>
    <row r="210" spans="1:8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  <c r="H210">
        <f t="shared" si="3"/>
        <v>30</v>
      </c>
    </row>
    <row r="211" spans="1:8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  <c r="H211">
        <f t="shared" si="3"/>
        <v>30</v>
      </c>
    </row>
    <row r="212" spans="1:8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  <c r="H212">
        <f t="shared" si="3"/>
        <v>31</v>
      </c>
    </row>
    <row r="213" spans="1:8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  <c r="H213">
        <f t="shared" si="3"/>
        <v>31</v>
      </c>
    </row>
    <row r="214" spans="1:8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  <c r="H214">
        <f t="shared" si="3"/>
        <v>31</v>
      </c>
    </row>
    <row r="215" spans="1:8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  <c r="H215">
        <f t="shared" si="3"/>
        <v>31</v>
      </c>
    </row>
    <row r="216" spans="1:8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  <c r="H216">
        <f t="shared" si="3"/>
        <v>31</v>
      </c>
    </row>
    <row r="217" spans="1:8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  <c r="H217">
        <f t="shared" si="3"/>
        <v>31</v>
      </c>
    </row>
    <row r="218" spans="1:8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  <c r="H218">
        <f t="shared" si="3"/>
        <v>31</v>
      </c>
    </row>
    <row r="219" spans="1:8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  <c r="H219">
        <f t="shared" si="3"/>
        <v>32</v>
      </c>
    </row>
    <row r="220" spans="1:8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  <c r="H220">
        <f t="shared" si="3"/>
        <v>32</v>
      </c>
    </row>
    <row r="221" spans="1:8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  <c r="H221">
        <f t="shared" si="3"/>
        <v>32</v>
      </c>
    </row>
    <row r="222" spans="1:8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  <c r="H222">
        <f t="shared" si="3"/>
        <v>32</v>
      </c>
    </row>
    <row r="223" spans="1:8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  <c r="H223">
        <f t="shared" si="3"/>
        <v>32</v>
      </c>
    </row>
    <row r="224" spans="1:8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  <c r="H224">
        <f t="shared" si="3"/>
        <v>32</v>
      </c>
    </row>
    <row r="225" spans="1:8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  <c r="H225">
        <f t="shared" si="3"/>
        <v>32</v>
      </c>
    </row>
    <row r="226" spans="1:8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  <c r="H226">
        <f t="shared" si="3"/>
        <v>33</v>
      </c>
    </row>
    <row r="227" spans="1:8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  <c r="H227">
        <f t="shared" si="3"/>
        <v>33</v>
      </c>
    </row>
    <row r="228" spans="1:8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  <c r="H228">
        <f t="shared" si="3"/>
        <v>33</v>
      </c>
    </row>
    <row r="229" spans="1:8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  <c r="H229">
        <f t="shared" si="3"/>
        <v>33</v>
      </c>
    </row>
    <row r="230" spans="1:8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  <c r="H230">
        <f t="shared" si="3"/>
        <v>33</v>
      </c>
    </row>
    <row r="231" spans="1:8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  <c r="H231">
        <f t="shared" si="3"/>
        <v>33</v>
      </c>
    </row>
    <row r="232" spans="1:8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  <c r="H232">
        <f t="shared" si="3"/>
        <v>33</v>
      </c>
    </row>
    <row r="233" spans="1:8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  <c r="H233">
        <f t="shared" si="3"/>
        <v>34</v>
      </c>
    </row>
    <row r="234" spans="1:8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  <c r="H234">
        <f t="shared" si="3"/>
        <v>34</v>
      </c>
    </row>
    <row r="235" spans="1:8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  <c r="H235">
        <f t="shared" si="3"/>
        <v>34</v>
      </c>
    </row>
    <row r="236" spans="1:8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  <c r="H236">
        <f t="shared" si="3"/>
        <v>34</v>
      </c>
    </row>
    <row r="237" spans="1:8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  <c r="H237">
        <f t="shared" si="3"/>
        <v>34</v>
      </c>
    </row>
    <row r="238" spans="1:8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  <c r="H238">
        <f t="shared" si="3"/>
        <v>34</v>
      </c>
    </row>
    <row r="239" spans="1:8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  <c r="H239">
        <f t="shared" si="3"/>
        <v>34</v>
      </c>
    </row>
    <row r="240" spans="1:8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  <c r="H240">
        <f t="shared" si="3"/>
        <v>35</v>
      </c>
    </row>
    <row r="241" spans="1:8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  <c r="H241">
        <f t="shared" si="3"/>
        <v>35</v>
      </c>
    </row>
    <row r="242" spans="1:8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  <c r="H242">
        <f t="shared" si="3"/>
        <v>35</v>
      </c>
    </row>
    <row r="243" spans="1:8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  <c r="H243">
        <f t="shared" si="3"/>
        <v>35</v>
      </c>
    </row>
    <row r="244" spans="1:8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  <c r="H244">
        <f t="shared" si="3"/>
        <v>35</v>
      </c>
    </row>
    <row r="245" spans="1:8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  <c r="H245">
        <f t="shared" si="3"/>
        <v>35</v>
      </c>
    </row>
    <row r="246" spans="1:8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  <c r="H246">
        <f t="shared" si="3"/>
        <v>35</v>
      </c>
    </row>
    <row r="247" spans="1:8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  <c r="H247">
        <f t="shared" si="3"/>
        <v>36</v>
      </c>
    </row>
    <row r="248" spans="1:8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  <c r="H248">
        <f t="shared" si="3"/>
        <v>36</v>
      </c>
    </row>
    <row r="249" spans="1:8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  <c r="H249">
        <f t="shared" si="3"/>
        <v>36</v>
      </c>
    </row>
    <row r="250" spans="1:8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  <c r="H250">
        <f t="shared" si="3"/>
        <v>36</v>
      </c>
    </row>
    <row r="251" spans="1:8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  <c r="H251">
        <f t="shared" si="3"/>
        <v>36</v>
      </c>
    </row>
    <row r="252" spans="1:8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  <c r="H252">
        <f t="shared" si="3"/>
        <v>36</v>
      </c>
    </row>
    <row r="253" spans="1:8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  <c r="H253">
        <f t="shared" si="3"/>
        <v>36</v>
      </c>
    </row>
    <row r="254" spans="1:8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  <c r="H254">
        <f t="shared" si="3"/>
        <v>37</v>
      </c>
    </row>
    <row r="255" spans="1:8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  <c r="H255">
        <f t="shared" si="3"/>
        <v>37</v>
      </c>
    </row>
    <row r="256" spans="1:8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  <c r="H256">
        <f t="shared" si="3"/>
        <v>37</v>
      </c>
    </row>
    <row r="257" spans="1:8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  <c r="H257">
        <f t="shared" si="3"/>
        <v>37</v>
      </c>
    </row>
    <row r="258" spans="1:8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  <c r="H258">
        <f t="shared" si="3"/>
        <v>37</v>
      </c>
    </row>
    <row r="259" spans="1:8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  <c r="H259">
        <f t="shared" si="3"/>
        <v>37</v>
      </c>
    </row>
    <row r="260" spans="1:8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  <c r="H260">
        <f t="shared" si="3"/>
        <v>37</v>
      </c>
    </row>
    <row r="261" spans="1:8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  <c r="H261">
        <f t="shared" si="3"/>
        <v>38</v>
      </c>
    </row>
    <row r="262" spans="1:8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  <c r="H262">
        <f t="shared" si="3"/>
        <v>38</v>
      </c>
    </row>
    <row r="263" spans="1:8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  <c r="H263">
        <f t="shared" si="3"/>
        <v>38</v>
      </c>
    </row>
    <row r="264" spans="1:8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  <c r="H264">
        <f t="shared" si="3"/>
        <v>38</v>
      </c>
    </row>
    <row r="265" spans="1:8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  <c r="H265">
        <f t="shared" ref="H265:H328" si="4">H258+1</f>
        <v>38</v>
      </c>
    </row>
    <row r="266" spans="1:8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  <c r="H266">
        <f t="shared" si="4"/>
        <v>38</v>
      </c>
    </row>
    <row r="267" spans="1:8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  <c r="H267">
        <f t="shared" si="4"/>
        <v>38</v>
      </c>
    </row>
    <row r="268" spans="1:8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  <c r="H268">
        <f t="shared" si="4"/>
        <v>39</v>
      </c>
    </row>
    <row r="269" spans="1:8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  <c r="H269">
        <f t="shared" si="4"/>
        <v>39</v>
      </c>
    </row>
    <row r="270" spans="1:8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  <c r="H270">
        <f t="shared" si="4"/>
        <v>39</v>
      </c>
    </row>
    <row r="271" spans="1:8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  <c r="H271">
        <f t="shared" si="4"/>
        <v>39</v>
      </c>
    </row>
    <row r="272" spans="1:8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  <c r="H272">
        <f t="shared" si="4"/>
        <v>39</v>
      </c>
    </row>
    <row r="273" spans="1:8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  <c r="H273">
        <f t="shared" si="4"/>
        <v>39</v>
      </c>
    </row>
    <row r="274" spans="1:8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  <c r="H274">
        <f t="shared" si="4"/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7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13</v>
      </c>
      <c r="B2" t="s">
        <v>10</v>
      </c>
      <c r="C2" t="s">
        <v>11</v>
      </c>
      <c r="D2" t="s">
        <v>12</v>
      </c>
      <c r="E2">
        <v>5</v>
      </c>
      <c r="F2">
        <v>7</v>
      </c>
      <c r="G2" t="s">
        <v>13</v>
      </c>
      <c r="H2" t="s">
        <v>14</v>
      </c>
      <c r="J2">
        <v>13</v>
      </c>
    </row>
    <row r="3" spans="1:10" x14ac:dyDescent="0.25">
      <c r="A3">
        <v>14</v>
      </c>
      <c r="B3" t="s">
        <v>10</v>
      </c>
      <c r="C3" t="s">
        <v>11</v>
      </c>
      <c r="D3" t="s">
        <v>12</v>
      </c>
      <c r="E3">
        <v>7</v>
      </c>
      <c r="F3">
        <v>5</v>
      </c>
      <c r="G3" t="s">
        <v>13</v>
      </c>
      <c r="H3" t="s">
        <v>14</v>
      </c>
      <c r="J3">
        <v>14</v>
      </c>
    </row>
    <row r="4" spans="1:10" x14ac:dyDescent="0.25">
      <c r="A4">
        <v>15</v>
      </c>
      <c r="B4" t="s">
        <v>15</v>
      </c>
      <c r="C4" t="s">
        <v>11</v>
      </c>
      <c r="D4" t="s">
        <v>12</v>
      </c>
      <c r="E4">
        <v>5</v>
      </c>
      <c r="F4">
        <v>10</v>
      </c>
      <c r="G4" t="s">
        <v>13</v>
      </c>
      <c r="H4" t="s">
        <v>14</v>
      </c>
      <c r="J4">
        <v>15</v>
      </c>
    </row>
    <row r="5" spans="1:10" x14ac:dyDescent="0.25">
      <c r="A5">
        <v>16</v>
      </c>
      <c r="B5" t="s">
        <v>15</v>
      </c>
      <c r="C5" t="s">
        <v>11</v>
      </c>
      <c r="D5" t="s">
        <v>12</v>
      </c>
      <c r="E5">
        <v>10</v>
      </c>
      <c r="F5">
        <v>5</v>
      </c>
      <c r="G5" t="s">
        <v>13</v>
      </c>
      <c r="H5" t="s">
        <v>14</v>
      </c>
      <c r="J5">
        <v>16</v>
      </c>
    </row>
    <row r="6" spans="1:10" x14ac:dyDescent="0.25">
      <c r="A6">
        <v>17</v>
      </c>
      <c r="B6" t="s">
        <v>15</v>
      </c>
      <c r="C6" t="s">
        <v>11</v>
      </c>
      <c r="D6" t="s">
        <v>12</v>
      </c>
      <c r="E6">
        <v>5</v>
      </c>
      <c r="F6">
        <v>14</v>
      </c>
      <c r="G6" t="s">
        <v>13</v>
      </c>
      <c r="H6" t="s">
        <v>14</v>
      </c>
      <c r="J6">
        <v>17</v>
      </c>
    </row>
    <row r="7" spans="1:10" x14ac:dyDescent="0.25">
      <c r="A7">
        <v>18</v>
      </c>
      <c r="B7" t="s">
        <v>15</v>
      </c>
      <c r="C7" t="s">
        <v>11</v>
      </c>
      <c r="D7" t="s">
        <v>12</v>
      </c>
      <c r="E7">
        <v>14</v>
      </c>
      <c r="F7">
        <v>5</v>
      </c>
      <c r="G7" t="s">
        <v>13</v>
      </c>
      <c r="H7" t="s">
        <v>14</v>
      </c>
      <c r="J7">
        <v>18</v>
      </c>
    </row>
    <row r="8" spans="1:10" x14ac:dyDescent="0.25">
      <c r="A8">
        <v>19</v>
      </c>
      <c r="B8" t="s">
        <v>15</v>
      </c>
      <c r="C8" t="s">
        <v>11</v>
      </c>
      <c r="D8" t="s">
        <v>12</v>
      </c>
      <c r="E8">
        <v>12</v>
      </c>
      <c r="F8">
        <v>7</v>
      </c>
      <c r="G8" t="s">
        <v>16</v>
      </c>
      <c r="H8" t="s">
        <v>14</v>
      </c>
      <c r="J8">
        <v>19</v>
      </c>
    </row>
    <row r="9" spans="1:10" x14ac:dyDescent="0.25">
      <c r="A9">
        <v>20</v>
      </c>
      <c r="B9" t="s">
        <v>15</v>
      </c>
      <c r="C9" t="s">
        <v>11</v>
      </c>
      <c r="D9" t="s">
        <v>12</v>
      </c>
      <c r="E9">
        <v>7</v>
      </c>
      <c r="F9">
        <v>12</v>
      </c>
      <c r="G9" t="s">
        <v>16</v>
      </c>
      <c r="H9" t="s">
        <v>14</v>
      </c>
      <c r="J9">
        <v>20</v>
      </c>
    </row>
    <row r="10" spans="1:10" x14ac:dyDescent="0.25">
      <c r="A10">
        <v>21</v>
      </c>
      <c r="B10" t="s">
        <v>15</v>
      </c>
      <c r="C10" t="s">
        <v>11</v>
      </c>
      <c r="D10" t="s">
        <v>12</v>
      </c>
      <c r="E10">
        <v>5</v>
      </c>
      <c r="F10">
        <v>14</v>
      </c>
      <c r="G10" t="s">
        <v>13</v>
      </c>
      <c r="H10" t="s">
        <v>14</v>
      </c>
      <c r="J10">
        <v>21</v>
      </c>
    </row>
    <row r="11" spans="1:10" x14ac:dyDescent="0.25">
      <c r="A11">
        <v>22</v>
      </c>
      <c r="B11" t="s">
        <v>15</v>
      </c>
      <c r="C11" t="s">
        <v>11</v>
      </c>
      <c r="D11" t="s">
        <v>12</v>
      </c>
      <c r="E11">
        <v>14</v>
      </c>
      <c r="F11">
        <v>5</v>
      </c>
      <c r="G11" t="s">
        <v>13</v>
      </c>
      <c r="H11" t="s">
        <v>14</v>
      </c>
      <c r="J11">
        <v>22</v>
      </c>
    </row>
    <row r="12" spans="1:10" x14ac:dyDescent="0.25">
      <c r="A12">
        <v>23</v>
      </c>
      <c r="B12" t="s">
        <v>15</v>
      </c>
      <c r="C12" t="s">
        <v>11</v>
      </c>
      <c r="D12" t="s">
        <v>12</v>
      </c>
      <c r="E12">
        <v>14</v>
      </c>
      <c r="F12">
        <v>13</v>
      </c>
      <c r="G12" t="s">
        <v>17</v>
      </c>
      <c r="H12" t="s">
        <v>14</v>
      </c>
      <c r="J12">
        <v>23</v>
      </c>
    </row>
    <row r="13" spans="1:10" x14ac:dyDescent="0.25">
      <c r="A13">
        <v>24</v>
      </c>
      <c r="B13" t="s">
        <v>15</v>
      </c>
      <c r="C13" t="s">
        <v>11</v>
      </c>
      <c r="D13" t="s">
        <v>12</v>
      </c>
      <c r="E13">
        <v>13</v>
      </c>
      <c r="F13">
        <v>14</v>
      </c>
      <c r="G13" t="s">
        <v>17</v>
      </c>
      <c r="H13" t="s">
        <v>14</v>
      </c>
      <c r="J13">
        <v>24</v>
      </c>
    </row>
    <row r="14" spans="1:10" x14ac:dyDescent="0.25">
      <c r="A14">
        <v>25</v>
      </c>
      <c r="B14" t="s">
        <v>15</v>
      </c>
      <c r="C14" t="s">
        <v>11</v>
      </c>
      <c r="D14" t="s">
        <v>12</v>
      </c>
      <c r="E14">
        <v>14</v>
      </c>
      <c r="F14">
        <v>11</v>
      </c>
      <c r="G14" t="s">
        <v>18</v>
      </c>
      <c r="H14" t="s">
        <v>14</v>
      </c>
      <c r="J14">
        <v>25</v>
      </c>
    </row>
    <row r="15" spans="1:10" x14ac:dyDescent="0.25">
      <c r="A15">
        <v>26</v>
      </c>
      <c r="B15" t="s">
        <v>15</v>
      </c>
      <c r="C15" t="s">
        <v>11</v>
      </c>
      <c r="D15" t="s">
        <v>12</v>
      </c>
      <c r="E15">
        <v>11</v>
      </c>
      <c r="F15">
        <v>14</v>
      </c>
      <c r="G15" t="s">
        <v>18</v>
      </c>
      <c r="H15" t="s">
        <v>14</v>
      </c>
      <c r="J15">
        <v>26</v>
      </c>
    </row>
    <row r="16" spans="1:10" x14ac:dyDescent="0.25">
      <c r="A16">
        <v>27</v>
      </c>
      <c r="B16" t="s">
        <v>15</v>
      </c>
      <c r="C16" t="s">
        <v>11</v>
      </c>
      <c r="D16" t="s">
        <v>12</v>
      </c>
      <c r="E16">
        <v>14</v>
      </c>
      <c r="F16">
        <v>6</v>
      </c>
      <c r="G16" t="s">
        <v>19</v>
      </c>
      <c r="H16" t="s">
        <v>14</v>
      </c>
      <c r="J16">
        <v>27</v>
      </c>
    </row>
    <row r="17" spans="1:10" x14ac:dyDescent="0.25">
      <c r="A17">
        <v>28</v>
      </c>
      <c r="B17" t="s">
        <v>15</v>
      </c>
      <c r="C17" t="s">
        <v>11</v>
      </c>
      <c r="D17" t="s">
        <v>12</v>
      </c>
      <c r="E17">
        <v>6</v>
      </c>
      <c r="F17">
        <v>14</v>
      </c>
      <c r="G17" t="s">
        <v>19</v>
      </c>
      <c r="H17" t="s">
        <v>14</v>
      </c>
      <c r="J17">
        <v>28</v>
      </c>
    </row>
    <row r="18" spans="1:10" x14ac:dyDescent="0.25">
      <c r="A18">
        <v>29</v>
      </c>
      <c r="B18" t="s">
        <v>15</v>
      </c>
      <c r="C18" t="s">
        <v>11</v>
      </c>
      <c r="D18" t="s">
        <v>12</v>
      </c>
      <c r="E18">
        <v>13</v>
      </c>
      <c r="F18">
        <v>5</v>
      </c>
      <c r="G18" t="s">
        <v>13</v>
      </c>
      <c r="H18" t="s">
        <v>14</v>
      </c>
      <c r="J18">
        <v>29</v>
      </c>
    </row>
    <row r="19" spans="1:10" x14ac:dyDescent="0.25">
      <c r="A19">
        <v>30</v>
      </c>
      <c r="B19" t="s">
        <v>15</v>
      </c>
      <c r="C19" t="s">
        <v>11</v>
      </c>
      <c r="D19" t="s">
        <v>12</v>
      </c>
      <c r="E19">
        <v>5</v>
      </c>
      <c r="F19">
        <v>13</v>
      </c>
      <c r="G19" t="s">
        <v>13</v>
      </c>
      <c r="H19" t="s">
        <v>14</v>
      </c>
      <c r="J19">
        <v>30</v>
      </c>
    </row>
    <row r="20" spans="1:10" x14ac:dyDescent="0.25">
      <c r="A20">
        <v>31</v>
      </c>
      <c r="B20" t="s">
        <v>15</v>
      </c>
      <c r="C20" t="s">
        <v>11</v>
      </c>
      <c r="D20" t="s">
        <v>12</v>
      </c>
      <c r="E20">
        <v>14</v>
      </c>
      <c r="F20">
        <v>5</v>
      </c>
      <c r="G20" t="s">
        <v>13</v>
      </c>
      <c r="H20" t="s">
        <v>14</v>
      </c>
      <c r="J20">
        <v>31</v>
      </c>
    </row>
    <row r="21" spans="1:10" x14ac:dyDescent="0.25">
      <c r="A21">
        <v>32</v>
      </c>
      <c r="B21" t="s">
        <v>15</v>
      </c>
      <c r="C21" t="s">
        <v>11</v>
      </c>
      <c r="D21" t="s">
        <v>12</v>
      </c>
      <c r="E21">
        <v>5</v>
      </c>
      <c r="F21">
        <v>14</v>
      </c>
      <c r="G21" t="s">
        <v>13</v>
      </c>
      <c r="H21" t="s">
        <v>14</v>
      </c>
      <c r="J21">
        <v>32</v>
      </c>
    </row>
    <row r="22" spans="1:10" x14ac:dyDescent="0.25">
      <c r="A22">
        <v>33</v>
      </c>
      <c r="B22" t="s">
        <v>15</v>
      </c>
      <c r="C22" t="s">
        <v>11</v>
      </c>
      <c r="D22" t="s">
        <v>12</v>
      </c>
      <c r="E22">
        <v>2</v>
      </c>
      <c r="F22">
        <v>5</v>
      </c>
      <c r="G22" t="s">
        <v>13</v>
      </c>
      <c r="H22" t="s">
        <v>14</v>
      </c>
      <c r="J22">
        <v>33</v>
      </c>
    </row>
    <row r="23" spans="1:10" x14ac:dyDescent="0.25">
      <c r="A23">
        <v>34</v>
      </c>
      <c r="B23" t="s">
        <v>15</v>
      </c>
      <c r="C23" t="s">
        <v>11</v>
      </c>
      <c r="D23" t="s">
        <v>12</v>
      </c>
      <c r="E23">
        <v>5</v>
      </c>
      <c r="F23">
        <v>2</v>
      </c>
      <c r="G23" t="s">
        <v>13</v>
      </c>
      <c r="H23" t="s">
        <v>14</v>
      </c>
      <c r="J23">
        <v>34</v>
      </c>
    </row>
    <row r="24" spans="1:10" x14ac:dyDescent="0.25">
      <c r="A24">
        <v>35</v>
      </c>
      <c r="B24" t="s">
        <v>20</v>
      </c>
      <c r="C24" t="s">
        <v>11</v>
      </c>
      <c r="D24" t="s">
        <v>12</v>
      </c>
      <c r="E24">
        <v>5</v>
      </c>
      <c r="F24">
        <v>5</v>
      </c>
      <c r="G24" t="s">
        <v>13</v>
      </c>
      <c r="H24" t="s">
        <v>14</v>
      </c>
      <c r="J24">
        <v>35</v>
      </c>
    </row>
    <row r="25" spans="1:10" x14ac:dyDescent="0.25">
      <c r="A25">
        <v>36</v>
      </c>
      <c r="B25" t="s">
        <v>20</v>
      </c>
      <c r="C25" t="s">
        <v>11</v>
      </c>
      <c r="D25" t="s">
        <v>12</v>
      </c>
      <c r="E25">
        <v>13</v>
      </c>
      <c r="F25">
        <v>13</v>
      </c>
      <c r="G25" t="s">
        <v>21</v>
      </c>
      <c r="H25" t="s">
        <v>14</v>
      </c>
      <c r="J25">
        <v>36</v>
      </c>
    </row>
    <row r="26" spans="1:10" x14ac:dyDescent="0.25">
      <c r="A26">
        <v>37</v>
      </c>
      <c r="B26" t="s">
        <v>20</v>
      </c>
      <c r="C26" t="s">
        <v>11</v>
      </c>
      <c r="D26" t="s">
        <v>12</v>
      </c>
      <c r="E26">
        <v>14</v>
      </c>
      <c r="F26">
        <v>14</v>
      </c>
      <c r="G26" t="s">
        <v>17</v>
      </c>
      <c r="H26" t="s">
        <v>14</v>
      </c>
      <c r="J26">
        <v>37</v>
      </c>
    </row>
    <row r="27" spans="1:10" x14ac:dyDescent="0.25">
      <c r="A27">
        <v>38</v>
      </c>
      <c r="B27" t="s">
        <v>20</v>
      </c>
      <c r="C27" t="s">
        <v>11</v>
      </c>
      <c r="D27" t="s">
        <v>12</v>
      </c>
      <c r="E27">
        <v>5</v>
      </c>
      <c r="F27">
        <v>5</v>
      </c>
      <c r="G27" t="s">
        <v>13</v>
      </c>
      <c r="H27" t="s">
        <v>14</v>
      </c>
      <c r="J27">
        <v>38</v>
      </c>
    </row>
    <row r="28" spans="1:10" x14ac:dyDescent="0.25">
      <c r="A28">
        <v>39</v>
      </c>
      <c r="B28" t="s">
        <v>22</v>
      </c>
      <c r="C28" t="s">
        <v>11</v>
      </c>
      <c r="D28" t="s">
        <v>12</v>
      </c>
      <c r="E28">
        <v>14</v>
      </c>
      <c r="F28">
        <v>14</v>
      </c>
      <c r="G28" t="s">
        <v>17</v>
      </c>
      <c r="H28" t="s">
        <v>14</v>
      </c>
      <c r="J28">
        <v>39</v>
      </c>
    </row>
    <row r="29" spans="1:10" x14ac:dyDescent="0.25">
      <c r="A29">
        <v>40</v>
      </c>
      <c r="B29" t="s">
        <v>20</v>
      </c>
      <c r="C29" t="s">
        <v>11</v>
      </c>
      <c r="D29" t="s">
        <v>12</v>
      </c>
      <c r="E29">
        <v>2</v>
      </c>
      <c r="F29">
        <v>2</v>
      </c>
      <c r="G29" t="s">
        <v>23</v>
      </c>
      <c r="H29" t="s">
        <v>14</v>
      </c>
      <c r="J29">
        <v>40</v>
      </c>
    </row>
    <row r="30" spans="1:10" x14ac:dyDescent="0.25">
      <c r="A30">
        <v>41</v>
      </c>
      <c r="B30" t="s">
        <v>24</v>
      </c>
      <c r="C30" t="s">
        <v>11</v>
      </c>
      <c r="D30" t="s">
        <v>12</v>
      </c>
      <c r="E30">
        <v>5</v>
      </c>
      <c r="F30" t="s">
        <v>25</v>
      </c>
      <c r="G30" t="s">
        <v>13</v>
      </c>
      <c r="H30" t="s">
        <v>14</v>
      </c>
      <c r="J30">
        <v>41</v>
      </c>
    </row>
    <row r="31" spans="1:10" x14ac:dyDescent="0.25">
      <c r="A31">
        <v>42</v>
      </c>
      <c r="B31" t="s">
        <v>24</v>
      </c>
      <c r="C31" t="s">
        <v>11</v>
      </c>
      <c r="D31" t="s">
        <v>12</v>
      </c>
      <c r="E31">
        <v>13</v>
      </c>
      <c r="F31" t="s">
        <v>25</v>
      </c>
      <c r="G31" t="s">
        <v>21</v>
      </c>
      <c r="H31" t="s">
        <v>14</v>
      </c>
      <c r="J31">
        <v>42</v>
      </c>
    </row>
    <row r="32" spans="1:10" x14ac:dyDescent="0.25">
      <c r="A32">
        <v>1</v>
      </c>
      <c r="B32" t="s">
        <v>26</v>
      </c>
      <c r="C32" t="s">
        <v>11</v>
      </c>
      <c r="D32" t="s">
        <v>27</v>
      </c>
      <c r="E32">
        <v>6</v>
      </c>
      <c r="F32">
        <v>1</v>
      </c>
      <c r="G32" t="s">
        <v>28</v>
      </c>
      <c r="H32" t="s">
        <v>29</v>
      </c>
      <c r="J32">
        <v>1</v>
      </c>
    </row>
    <row r="33" spans="1:10" x14ac:dyDescent="0.25">
      <c r="A33">
        <v>2</v>
      </c>
      <c r="B33" t="s">
        <v>26</v>
      </c>
      <c r="C33" t="s">
        <v>11</v>
      </c>
      <c r="D33" t="s">
        <v>27</v>
      </c>
      <c r="E33">
        <v>6</v>
      </c>
      <c r="F33">
        <v>1</v>
      </c>
      <c r="G33" t="s">
        <v>28</v>
      </c>
      <c r="H33" t="s">
        <v>29</v>
      </c>
      <c r="J33">
        <v>2</v>
      </c>
    </row>
    <row r="34" spans="1:10" x14ac:dyDescent="0.25">
      <c r="A34">
        <v>3</v>
      </c>
      <c r="B34" t="s">
        <v>20</v>
      </c>
      <c r="C34" t="s">
        <v>11</v>
      </c>
      <c r="D34" t="s">
        <v>27</v>
      </c>
      <c r="E34">
        <v>7</v>
      </c>
      <c r="F34">
        <v>7</v>
      </c>
      <c r="G34" t="s">
        <v>28</v>
      </c>
      <c r="H34" t="s">
        <v>29</v>
      </c>
      <c r="J34">
        <v>3</v>
      </c>
    </row>
    <row r="35" spans="1:10" x14ac:dyDescent="0.25">
      <c r="A35">
        <v>4</v>
      </c>
      <c r="B35" t="s">
        <v>26</v>
      </c>
      <c r="C35" t="s">
        <v>30</v>
      </c>
      <c r="D35" t="s">
        <v>27</v>
      </c>
      <c r="E35">
        <v>7</v>
      </c>
      <c r="F35">
        <v>5</v>
      </c>
      <c r="G35" t="s">
        <v>28</v>
      </c>
      <c r="H35" t="s">
        <v>29</v>
      </c>
      <c r="J35">
        <v>4</v>
      </c>
    </row>
    <row r="36" spans="1:10" x14ac:dyDescent="0.25">
      <c r="A36">
        <v>5</v>
      </c>
      <c r="B36" t="s">
        <v>20</v>
      </c>
      <c r="C36" t="s">
        <v>11</v>
      </c>
      <c r="D36" t="s">
        <v>27</v>
      </c>
      <c r="E36">
        <v>7</v>
      </c>
      <c r="F36">
        <v>7</v>
      </c>
      <c r="G36" t="s">
        <v>28</v>
      </c>
      <c r="H36" t="s">
        <v>29</v>
      </c>
      <c r="J36">
        <v>5</v>
      </c>
    </row>
    <row r="37" spans="1:10" x14ac:dyDescent="0.25">
      <c r="A37">
        <v>6</v>
      </c>
      <c r="B37" t="s">
        <v>22</v>
      </c>
      <c r="C37" t="s">
        <v>11</v>
      </c>
      <c r="D37" t="s">
        <v>27</v>
      </c>
      <c r="E37">
        <v>2</v>
      </c>
      <c r="F37">
        <v>2</v>
      </c>
      <c r="G37" t="s">
        <v>28</v>
      </c>
      <c r="H37" t="s">
        <v>29</v>
      </c>
      <c r="J37">
        <v>6</v>
      </c>
    </row>
    <row r="38" spans="1:10" x14ac:dyDescent="0.25">
      <c r="A38">
        <v>7</v>
      </c>
      <c r="B38" t="s">
        <v>31</v>
      </c>
      <c r="C38" t="s">
        <v>30</v>
      </c>
      <c r="D38" t="s">
        <v>27</v>
      </c>
      <c r="E38">
        <v>7</v>
      </c>
      <c r="F38">
        <v>7</v>
      </c>
      <c r="G38" t="s">
        <v>28</v>
      </c>
      <c r="H38" t="s">
        <v>29</v>
      </c>
      <c r="J38">
        <v>7</v>
      </c>
    </row>
    <row r="39" spans="1:10" x14ac:dyDescent="0.25">
      <c r="A39">
        <v>8</v>
      </c>
      <c r="B39" t="s">
        <v>31</v>
      </c>
      <c r="C39" t="s">
        <v>30</v>
      </c>
      <c r="D39" t="s">
        <v>27</v>
      </c>
      <c r="E39">
        <v>7</v>
      </c>
      <c r="F39">
        <v>7</v>
      </c>
      <c r="G39" t="s">
        <v>28</v>
      </c>
      <c r="H39" t="s">
        <v>29</v>
      </c>
      <c r="J39">
        <v>8</v>
      </c>
    </row>
    <row r="40" spans="1:10" x14ac:dyDescent="0.25">
      <c r="A40">
        <v>9</v>
      </c>
      <c r="B40" t="s">
        <v>26</v>
      </c>
      <c r="C40" t="s">
        <v>32</v>
      </c>
      <c r="D40" t="s">
        <v>27</v>
      </c>
      <c r="E40">
        <v>2</v>
      </c>
      <c r="F40">
        <v>13</v>
      </c>
      <c r="G40" t="s">
        <v>28</v>
      </c>
      <c r="H40" t="s">
        <v>29</v>
      </c>
      <c r="J40">
        <v>9</v>
      </c>
    </row>
    <row r="41" spans="1:10" x14ac:dyDescent="0.25">
      <c r="A41">
        <v>10</v>
      </c>
      <c r="B41" t="s">
        <v>33</v>
      </c>
      <c r="C41" t="s">
        <v>34</v>
      </c>
      <c r="D41" t="s">
        <v>27</v>
      </c>
      <c r="E41">
        <v>6</v>
      </c>
      <c r="G41" t="s">
        <v>28</v>
      </c>
      <c r="H41" t="s">
        <v>29</v>
      </c>
      <c r="J41">
        <v>10</v>
      </c>
    </row>
    <row r="42" spans="1:10" x14ac:dyDescent="0.25">
      <c r="A42">
        <v>11</v>
      </c>
      <c r="B42" t="s">
        <v>33</v>
      </c>
      <c r="C42" t="s">
        <v>34</v>
      </c>
      <c r="D42" t="s">
        <v>27</v>
      </c>
      <c r="E42">
        <v>7</v>
      </c>
      <c r="G42" t="s">
        <v>28</v>
      </c>
      <c r="H42" t="s">
        <v>29</v>
      </c>
      <c r="J42">
        <v>11</v>
      </c>
    </row>
    <row r="43" spans="1:10" x14ac:dyDescent="0.25">
      <c r="A43">
        <v>12</v>
      </c>
      <c r="B43" t="s">
        <v>35</v>
      </c>
      <c r="C43" t="s">
        <v>36</v>
      </c>
      <c r="D43" t="s">
        <v>27</v>
      </c>
      <c r="E43">
        <v>6</v>
      </c>
      <c r="F43">
        <v>6</v>
      </c>
      <c r="G43" t="s">
        <v>28</v>
      </c>
      <c r="H43" t="s">
        <v>29</v>
      </c>
      <c r="J43">
        <v>12</v>
      </c>
    </row>
    <row r="44" spans="1:10" x14ac:dyDescent="0.25">
      <c r="A44">
        <v>14</v>
      </c>
      <c r="B44" t="s">
        <v>35</v>
      </c>
      <c r="C44" t="s">
        <v>37</v>
      </c>
      <c r="D44" t="s">
        <v>27</v>
      </c>
      <c r="E44">
        <v>13</v>
      </c>
      <c r="F44">
        <v>13</v>
      </c>
      <c r="G44" t="s">
        <v>28</v>
      </c>
      <c r="H44" t="s">
        <v>38</v>
      </c>
      <c r="J44">
        <v>15</v>
      </c>
    </row>
    <row r="45" spans="1:10" x14ac:dyDescent="0.25">
      <c r="B45" t="s">
        <v>35</v>
      </c>
      <c r="C45" t="s">
        <v>37</v>
      </c>
      <c r="D45" t="s">
        <v>27</v>
      </c>
      <c r="E45">
        <v>13</v>
      </c>
      <c r="F45">
        <v>13</v>
      </c>
      <c r="G45" t="s">
        <v>28</v>
      </c>
      <c r="H45" t="s">
        <v>29</v>
      </c>
      <c r="J45">
        <v>43</v>
      </c>
    </row>
    <row r="46" spans="1:10" x14ac:dyDescent="0.25">
      <c r="B46" t="s">
        <v>35</v>
      </c>
      <c r="C46" t="s">
        <v>37</v>
      </c>
      <c r="D46" t="s">
        <v>27</v>
      </c>
      <c r="E46">
        <v>13</v>
      </c>
      <c r="F46">
        <v>13</v>
      </c>
      <c r="G46" t="s">
        <v>28</v>
      </c>
      <c r="H46" t="s">
        <v>29</v>
      </c>
      <c r="J46">
        <v>44</v>
      </c>
    </row>
    <row r="47" spans="1:10" x14ac:dyDescent="0.25">
      <c r="B47" t="s">
        <v>35</v>
      </c>
      <c r="C47" t="s">
        <v>37</v>
      </c>
      <c r="D47" t="s">
        <v>27</v>
      </c>
      <c r="E47">
        <v>13</v>
      </c>
      <c r="F47">
        <v>13</v>
      </c>
      <c r="G47" t="s">
        <v>28</v>
      </c>
      <c r="H47" t="s">
        <v>29</v>
      </c>
      <c r="J47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0"/>
  <sheetViews>
    <sheetView workbookViewId="0"/>
  </sheetViews>
  <sheetFormatPr defaultRowHeight="15" x14ac:dyDescent="0.25"/>
  <sheetData>
    <row r="1" spans="1:14" x14ac:dyDescent="0.25">
      <c r="A1" t="s">
        <v>9</v>
      </c>
      <c r="B1" t="s">
        <v>543</v>
      </c>
      <c r="C1" t="s">
        <v>544</v>
      </c>
      <c r="D1" t="s">
        <v>545</v>
      </c>
      <c r="E1" t="s">
        <v>538</v>
      </c>
      <c r="F1" t="s">
        <v>539</v>
      </c>
      <c r="G1" t="s">
        <v>546</v>
      </c>
      <c r="H1" t="s">
        <v>547</v>
      </c>
      <c r="I1" t="s">
        <v>548</v>
      </c>
      <c r="J1" t="s">
        <v>549</v>
      </c>
      <c r="L1" t="s">
        <v>563</v>
      </c>
      <c r="M1" t="s">
        <v>564</v>
      </c>
      <c r="N1" t="s">
        <v>565</v>
      </c>
    </row>
    <row r="2" spans="1:14" x14ac:dyDescent="0.25">
      <c r="A2">
        <v>13</v>
      </c>
      <c r="B2" t="s">
        <v>566</v>
      </c>
      <c r="C2" t="s">
        <v>567</v>
      </c>
      <c r="D2" t="s">
        <v>566</v>
      </c>
      <c r="E2">
        <v>5</v>
      </c>
      <c r="F2">
        <v>7</v>
      </c>
      <c r="G2" t="s">
        <v>25</v>
      </c>
      <c r="H2" t="s">
        <v>25</v>
      </c>
      <c r="I2" t="s">
        <v>12</v>
      </c>
    </row>
    <row r="3" spans="1:14" x14ac:dyDescent="0.25">
      <c r="A3">
        <v>13</v>
      </c>
      <c r="B3" t="s">
        <v>568</v>
      </c>
      <c r="C3" t="s">
        <v>567</v>
      </c>
      <c r="D3" t="s">
        <v>568</v>
      </c>
      <c r="E3">
        <v>7</v>
      </c>
      <c r="F3">
        <v>5</v>
      </c>
      <c r="G3" t="s">
        <v>25</v>
      </c>
      <c r="H3" t="s">
        <v>25</v>
      </c>
      <c r="I3" t="s">
        <v>12</v>
      </c>
    </row>
    <row r="4" spans="1:14" x14ac:dyDescent="0.25">
      <c r="A4">
        <v>14</v>
      </c>
      <c r="B4" t="s">
        <v>569</v>
      </c>
      <c r="C4" t="s">
        <v>567</v>
      </c>
      <c r="D4" t="s">
        <v>569</v>
      </c>
      <c r="E4">
        <v>7</v>
      </c>
      <c r="F4">
        <v>5</v>
      </c>
      <c r="G4" t="s">
        <v>25</v>
      </c>
      <c r="H4" t="s">
        <v>25</v>
      </c>
      <c r="I4" t="s">
        <v>12</v>
      </c>
    </row>
    <row r="5" spans="1:14" x14ac:dyDescent="0.25">
      <c r="A5">
        <v>16</v>
      </c>
      <c r="B5" t="s">
        <v>570</v>
      </c>
      <c r="C5" t="s">
        <v>567</v>
      </c>
      <c r="D5" t="s">
        <v>570</v>
      </c>
      <c r="E5">
        <v>10</v>
      </c>
      <c r="F5">
        <v>5</v>
      </c>
      <c r="G5" t="s">
        <v>25</v>
      </c>
      <c r="H5" t="s">
        <v>25</v>
      </c>
      <c r="I5" t="s">
        <v>12</v>
      </c>
    </row>
    <row r="6" spans="1:14" x14ac:dyDescent="0.25">
      <c r="A6">
        <v>15</v>
      </c>
      <c r="B6">
        <v>9</v>
      </c>
      <c r="C6" t="s">
        <v>571</v>
      </c>
      <c r="D6">
        <v>9</v>
      </c>
      <c r="E6">
        <v>5</v>
      </c>
      <c r="F6">
        <v>10</v>
      </c>
      <c r="G6" t="s">
        <v>572</v>
      </c>
      <c r="H6" t="s">
        <v>572</v>
      </c>
      <c r="I6" t="s">
        <v>12</v>
      </c>
    </row>
    <row r="7" spans="1:14" x14ac:dyDescent="0.25">
      <c r="A7">
        <v>18</v>
      </c>
      <c r="B7">
        <v>219</v>
      </c>
      <c r="C7" t="s">
        <v>571</v>
      </c>
      <c r="D7">
        <v>219</v>
      </c>
      <c r="E7">
        <v>14</v>
      </c>
      <c r="F7">
        <v>5</v>
      </c>
      <c r="G7" t="s">
        <v>572</v>
      </c>
      <c r="H7" t="s">
        <v>572</v>
      </c>
      <c r="I7" t="s">
        <v>12</v>
      </c>
    </row>
    <row r="8" spans="1:14" x14ac:dyDescent="0.25">
      <c r="A8">
        <v>17</v>
      </c>
      <c r="B8">
        <v>220</v>
      </c>
      <c r="C8" t="s">
        <v>571</v>
      </c>
      <c r="D8">
        <v>220</v>
      </c>
      <c r="E8">
        <v>5</v>
      </c>
      <c r="F8">
        <v>14</v>
      </c>
      <c r="G8" t="s">
        <v>572</v>
      </c>
      <c r="H8" t="s">
        <v>572</v>
      </c>
      <c r="I8" t="s">
        <v>12</v>
      </c>
    </row>
    <row r="9" spans="1:14" x14ac:dyDescent="0.25">
      <c r="A9">
        <v>20</v>
      </c>
      <c r="B9">
        <v>194</v>
      </c>
      <c r="C9" t="s">
        <v>571</v>
      </c>
      <c r="D9">
        <v>194</v>
      </c>
      <c r="E9">
        <v>7</v>
      </c>
      <c r="F9">
        <v>12</v>
      </c>
      <c r="G9" t="s">
        <v>572</v>
      </c>
      <c r="H9" t="s">
        <v>572</v>
      </c>
      <c r="I9" t="s">
        <v>12</v>
      </c>
    </row>
    <row r="10" spans="1:14" x14ac:dyDescent="0.25">
      <c r="A10">
        <v>19</v>
      </c>
      <c r="B10">
        <v>158</v>
      </c>
      <c r="C10" t="s">
        <v>571</v>
      </c>
      <c r="D10">
        <v>158</v>
      </c>
      <c r="E10">
        <v>12</v>
      </c>
      <c r="F10">
        <v>7</v>
      </c>
      <c r="G10" t="s">
        <v>572</v>
      </c>
      <c r="H10" t="s">
        <v>572</v>
      </c>
      <c r="I10" t="s">
        <v>12</v>
      </c>
    </row>
    <row r="11" spans="1:14" x14ac:dyDescent="0.25">
      <c r="A11">
        <v>19</v>
      </c>
      <c r="B11">
        <v>247</v>
      </c>
      <c r="C11" t="s">
        <v>571</v>
      </c>
      <c r="D11">
        <v>247</v>
      </c>
      <c r="E11">
        <v>12</v>
      </c>
      <c r="F11">
        <v>7</v>
      </c>
      <c r="G11" t="s">
        <v>572</v>
      </c>
      <c r="H11" t="s">
        <v>572</v>
      </c>
      <c r="I11" t="s">
        <v>12</v>
      </c>
    </row>
    <row r="12" spans="1:14" x14ac:dyDescent="0.25">
      <c r="A12">
        <v>19</v>
      </c>
      <c r="B12">
        <v>88</v>
      </c>
      <c r="C12" t="s">
        <v>571</v>
      </c>
      <c r="D12">
        <v>88</v>
      </c>
      <c r="E12">
        <v>12</v>
      </c>
      <c r="F12">
        <v>7</v>
      </c>
      <c r="G12" t="s">
        <v>572</v>
      </c>
      <c r="H12" t="s">
        <v>572</v>
      </c>
      <c r="I12" t="s">
        <v>12</v>
      </c>
    </row>
    <row r="13" spans="1:14" x14ac:dyDescent="0.25">
      <c r="A13">
        <v>21</v>
      </c>
      <c r="B13">
        <v>2</v>
      </c>
      <c r="C13" t="s">
        <v>571</v>
      </c>
      <c r="D13">
        <v>2</v>
      </c>
      <c r="E13">
        <v>5</v>
      </c>
      <c r="F13">
        <v>14</v>
      </c>
      <c r="G13" t="s">
        <v>572</v>
      </c>
      <c r="H13" t="s">
        <v>572</v>
      </c>
      <c r="I13" t="s">
        <v>12</v>
      </c>
    </row>
    <row r="14" spans="1:14" x14ac:dyDescent="0.25">
      <c r="A14">
        <v>22</v>
      </c>
      <c r="B14">
        <v>152</v>
      </c>
      <c r="C14" t="s">
        <v>571</v>
      </c>
      <c r="D14">
        <v>152</v>
      </c>
      <c r="E14">
        <v>14</v>
      </c>
      <c r="F14">
        <v>5</v>
      </c>
      <c r="G14" t="s">
        <v>572</v>
      </c>
      <c r="H14" t="s">
        <v>572</v>
      </c>
      <c r="I14" t="s">
        <v>12</v>
      </c>
    </row>
    <row r="15" spans="1:14" x14ac:dyDescent="0.25">
      <c r="A15">
        <v>21</v>
      </c>
      <c r="B15" t="s">
        <v>573</v>
      </c>
      <c r="C15" t="s">
        <v>567</v>
      </c>
      <c r="D15" t="s">
        <v>573</v>
      </c>
      <c r="E15">
        <v>5</v>
      </c>
      <c r="F15">
        <v>14</v>
      </c>
      <c r="G15" t="s">
        <v>25</v>
      </c>
      <c r="H15" t="s">
        <v>25</v>
      </c>
      <c r="I15" t="s">
        <v>12</v>
      </c>
    </row>
    <row r="16" spans="1:14" x14ac:dyDescent="0.25">
      <c r="A16">
        <v>22</v>
      </c>
      <c r="B16" t="s">
        <v>574</v>
      </c>
      <c r="C16" t="s">
        <v>567</v>
      </c>
      <c r="D16" t="s">
        <v>574</v>
      </c>
      <c r="E16">
        <v>14</v>
      </c>
      <c r="F16">
        <v>5</v>
      </c>
      <c r="G16" t="s">
        <v>25</v>
      </c>
      <c r="H16" t="s">
        <v>25</v>
      </c>
      <c r="I16" t="s">
        <v>12</v>
      </c>
    </row>
    <row r="17" spans="1:9" x14ac:dyDescent="0.25">
      <c r="A17">
        <v>23</v>
      </c>
      <c r="B17" t="s">
        <v>575</v>
      </c>
      <c r="C17" t="s">
        <v>567</v>
      </c>
      <c r="D17" t="s">
        <v>575</v>
      </c>
      <c r="E17">
        <v>14</v>
      </c>
      <c r="F17">
        <v>13</v>
      </c>
      <c r="G17" t="s">
        <v>25</v>
      </c>
      <c r="H17" t="s">
        <v>25</v>
      </c>
      <c r="I17" t="s">
        <v>12</v>
      </c>
    </row>
    <row r="18" spans="1:9" x14ac:dyDescent="0.25">
      <c r="A18">
        <v>23</v>
      </c>
      <c r="B18" t="s">
        <v>576</v>
      </c>
      <c r="C18" t="s">
        <v>567</v>
      </c>
      <c r="D18" t="s">
        <v>576</v>
      </c>
      <c r="E18">
        <v>14</v>
      </c>
      <c r="F18">
        <v>13</v>
      </c>
      <c r="G18" t="s">
        <v>25</v>
      </c>
      <c r="H18" t="s">
        <v>25</v>
      </c>
      <c r="I18" t="s">
        <v>12</v>
      </c>
    </row>
    <row r="19" spans="1:9" x14ac:dyDescent="0.25">
      <c r="A19">
        <v>24</v>
      </c>
      <c r="B19">
        <v>73</v>
      </c>
      <c r="C19" t="s">
        <v>571</v>
      </c>
      <c r="D19">
        <v>73</v>
      </c>
      <c r="E19">
        <v>13</v>
      </c>
      <c r="F19">
        <v>14</v>
      </c>
      <c r="G19" t="s">
        <v>572</v>
      </c>
      <c r="H19" t="s">
        <v>572</v>
      </c>
      <c r="I19" t="s">
        <v>12</v>
      </c>
    </row>
    <row r="20" spans="1:9" x14ac:dyDescent="0.25">
      <c r="A20">
        <v>23</v>
      </c>
      <c r="B20">
        <v>241</v>
      </c>
      <c r="C20" t="s">
        <v>571</v>
      </c>
      <c r="D20">
        <v>241</v>
      </c>
      <c r="E20">
        <v>14</v>
      </c>
      <c r="F20">
        <v>13</v>
      </c>
      <c r="G20" t="s">
        <v>572</v>
      </c>
      <c r="H20" t="s">
        <v>572</v>
      </c>
      <c r="I20" t="s">
        <v>12</v>
      </c>
    </row>
    <row r="21" spans="1:9" x14ac:dyDescent="0.25">
      <c r="A21">
        <v>23</v>
      </c>
      <c r="B21">
        <v>121</v>
      </c>
      <c r="C21" t="s">
        <v>571</v>
      </c>
      <c r="D21">
        <v>121</v>
      </c>
      <c r="E21">
        <v>14</v>
      </c>
      <c r="F21">
        <v>13</v>
      </c>
      <c r="G21" t="s">
        <v>572</v>
      </c>
      <c r="H21" t="s">
        <v>572</v>
      </c>
      <c r="I21" t="s">
        <v>12</v>
      </c>
    </row>
    <row r="22" spans="1:9" x14ac:dyDescent="0.25">
      <c r="A22">
        <v>25</v>
      </c>
      <c r="B22">
        <v>177</v>
      </c>
      <c r="C22" t="s">
        <v>571</v>
      </c>
      <c r="D22">
        <v>177</v>
      </c>
      <c r="E22">
        <v>14</v>
      </c>
      <c r="F22">
        <v>11</v>
      </c>
      <c r="G22" t="s">
        <v>572</v>
      </c>
      <c r="H22" t="s">
        <v>572</v>
      </c>
      <c r="I22" t="s">
        <v>12</v>
      </c>
    </row>
    <row r="23" spans="1:9" x14ac:dyDescent="0.25">
      <c r="A23">
        <v>26</v>
      </c>
      <c r="B23">
        <v>66</v>
      </c>
      <c r="C23" t="s">
        <v>571</v>
      </c>
      <c r="D23">
        <v>66</v>
      </c>
      <c r="E23">
        <v>11</v>
      </c>
      <c r="F23">
        <v>14</v>
      </c>
      <c r="G23" t="s">
        <v>572</v>
      </c>
      <c r="H23" t="s">
        <v>572</v>
      </c>
      <c r="I23" t="s">
        <v>12</v>
      </c>
    </row>
    <row r="24" spans="1:9" x14ac:dyDescent="0.25">
      <c r="A24">
        <v>28</v>
      </c>
      <c r="B24">
        <v>145</v>
      </c>
      <c r="C24" t="s">
        <v>571</v>
      </c>
      <c r="D24">
        <v>145</v>
      </c>
      <c r="E24">
        <v>6</v>
      </c>
      <c r="F24">
        <v>14</v>
      </c>
      <c r="G24" t="s">
        <v>572</v>
      </c>
      <c r="H24" t="s">
        <v>572</v>
      </c>
      <c r="I24" t="s">
        <v>12</v>
      </c>
    </row>
    <row r="25" spans="1:9" x14ac:dyDescent="0.25">
      <c r="A25">
        <v>27</v>
      </c>
      <c r="B25">
        <v>56</v>
      </c>
      <c r="C25" t="s">
        <v>571</v>
      </c>
      <c r="D25">
        <v>56</v>
      </c>
      <c r="E25">
        <v>14</v>
      </c>
      <c r="F25">
        <v>6</v>
      </c>
      <c r="G25" t="s">
        <v>572</v>
      </c>
      <c r="H25" t="s">
        <v>572</v>
      </c>
      <c r="I25" t="s">
        <v>12</v>
      </c>
    </row>
    <row r="26" spans="1:9" x14ac:dyDescent="0.25">
      <c r="A26">
        <v>27</v>
      </c>
      <c r="B26">
        <v>93</v>
      </c>
      <c r="C26" t="s">
        <v>571</v>
      </c>
      <c r="D26">
        <v>93</v>
      </c>
      <c r="E26">
        <v>14</v>
      </c>
      <c r="F26">
        <v>6</v>
      </c>
      <c r="G26" t="s">
        <v>572</v>
      </c>
      <c r="H26" t="s">
        <v>572</v>
      </c>
      <c r="I26" t="s">
        <v>12</v>
      </c>
    </row>
    <row r="27" spans="1:9" x14ac:dyDescent="0.25">
      <c r="A27">
        <v>27</v>
      </c>
      <c r="B27">
        <v>161</v>
      </c>
      <c r="C27" t="s">
        <v>571</v>
      </c>
      <c r="D27">
        <v>161</v>
      </c>
      <c r="E27">
        <v>14</v>
      </c>
      <c r="F27">
        <v>6</v>
      </c>
      <c r="G27" t="s">
        <v>572</v>
      </c>
      <c r="H27" t="s">
        <v>572</v>
      </c>
      <c r="I27" t="s">
        <v>12</v>
      </c>
    </row>
    <row r="28" spans="1:9" x14ac:dyDescent="0.25">
      <c r="A28">
        <v>27</v>
      </c>
      <c r="B28" t="s">
        <v>574</v>
      </c>
      <c r="C28" t="s">
        <v>567</v>
      </c>
      <c r="D28" t="s">
        <v>574</v>
      </c>
      <c r="E28">
        <v>14</v>
      </c>
      <c r="F28">
        <v>6</v>
      </c>
      <c r="G28" t="s">
        <v>25</v>
      </c>
      <c r="H28" t="s">
        <v>25</v>
      </c>
      <c r="I28" t="s">
        <v>12</v>
      </c>
    </row>
    <row r="29" spans="1:9" x14ac:dyDescent="0.25">
      <c r="A29">
        <v>29</v>
      </c>
      <c r="B29" t="s">
        <v>575</v>
      </c>
      <c r="C29" t="s">
        <v>567</v>
      </c>
      <c r="D29" t="s">
        <v>575</v>
      </c>
      <c r="E29">
        <v>13</v>
      </c>
      <c r="F29">
        <v>5</v>
      </c>
      <c r="G29" t="s">
        <v>25</v>
      </c>
      <c r="H29" t="s">
        <v>25</v>
      </c>
      <c r="I29" t="s">
        <v>12</v>
      </c>
    </row>
    <row r="30" spans="1:9" x14ac:dyDescent="0.25">
      <c r="A30">
        <v>29</v>
      </c>
      <c r="B30" t="s">
        <v>576</v>
      </c>
      <c r="C30" t="s">
        <v>567</v>
      </c>
      <c r="D30" t="s">
        <v>576</v>
      </c>
      <c r="E30">
        <v>13</v>
      </c>
      <c r="F30">
        <v>5</v>
      </c>
      <c r="G30" t="s">
        <v>25</v>
      </c>
      <c r="H30" t="s">
        <v>25</v>
      </c>
      <c r="I30" t="s">
        <v>12</v>
      </c>
    </row>
    <row r="31" spans="1:9" x14ac:dyDescent="0.25">
      <c r="A31">
        <v>30</v>
      </c>
      <c r="B31" t="s">
        <v>568</v>
      </c>
      <c r="C31" t="s">
        <v>567</v>
      </c>
      <c r="D31" t="s">
        <v>568</v>
      </c>
      <c r="E31">
        <v>5</v>
      </c>
      <c r="F31">
        <v>13</v>
      </c>
      <c r="G31" t="s">
        <v>25</v>
      </c>
      <c r="H31" t="s">
        <v>25</v>
      </c>
      <c r="I31" t="s">
        <v>12</v>
      </c>
    </row>
    <row r="32" spans="1:9" x14ac:dyDescent="0.25">
      <c r="A32">
        <v>29</v>
      </c>
      <c r="B32">
        <v>409</v>
      </c>
      <c r="C32" t="s">
        <v>571</v>
      </c>
      <c r="D32">
        <v>409</v>
      </c>
      <c r="E32">
        <v>13</v>
      </c>
      <c r="F32">
        <v>5</v>
      </c>
      <c r="G32" t="s">
        <v>572</v>
      </c>
      <c r="H32" t="s">
        <v>572</v>
      </c>
      <c r="I32" t="s">
        <v>12</v>
      </c>
    </row>
    <row r="33" spans="1:9" x14ac:dyDescent="0.25">
      <c r="A33">
        <v>29</v>
      </c>
      <c r="B33">
        <v>48</v>
      </c>
      <c r="C33" t="s">
        <v>571</v>
      </c>
      <c r="D33">
        <v>48</v>
      </c>
      <c r="E33">
        <v>13</v>
      </c>
      <c r="F33">
        <v>5</v>
      </c>
      <c r="G33" t="s">
        <v>572</v>
      </c>
      <c r="H33" t="s">
        <v>572</v>
      </c>
      <c r="I33" t="s">
        <v>12</v>
      </c>
    </row>
    <row r="34" spans="1:9" x14ac:dyDescent="0.25">
      <c r="A34">
        <v>30</v>
      </c>
      <c r="B34">
        <v>414</v>
      </c>
      <c r="C34" t="s">
        <v>571</v>
      </c>
      <c r="D34">
        <v>414</v>
      </c>
      <c r="E34">
        <v>5</v>
      </c>
      <c r="F34">
        <v>13</v>
      </c>
      <c r="G34" t="s">
        <v>572</v>
      </c>
      <c r="H34" t="s">
        <v>572</v>
      </c>
      <c r="I34" t="s">
        <v>12</v>
      </c>
    </row>
    <row r="35" spans="1:9" x14ac:dyDescent="0.25">
      <c r="A35">
        <v>32</v>
      </c>
      <c r="B35">
        <v>238</v>
      </c>
      <c r="C35" t="s">
        <v>571</v>
      </c>
      <c r="D35">
        <v>238</v>
      </c>
      <c r="E35">
        <v>5</v>
      </c>
      <c r="F35">
        <v>14</v>
      </c>
      <c r="G35" t="s">
        <v>572</v>
      </c>
      <c r="H35" t="s">
        <v>572</v>
      </c>
      <c r="I35" t="s">
        <v>12</v>
      </c>
    </row>
    <row r="36" spans="1:9" x14ac:dyDescent="0.25">
      <c r="A36">
        <v>31</v>
      </c>
      <c r="B36">
        <v>133</v>
      </c>
      <c r="C36" t="s">
        <v>571</v>
      </c>
      <c r="D36">
        <v>133</v>
      </c>
      <c r="E36">
        <v>14</v>
      </c>
      <c r="F36">
        <v>5</v>
      </c>
      <c r="G36" t="s">
        <v>572</v>
      </c>
      <c r="H36" t="s">
        <v>572</v>
      </c>
      <c r="I36" t="s">
        <v>12</v>
      </c>
    </row>
    <row r="37" spans="1:9" x14ac:dyDescent="0.25">
      <c r="A37">
        <v>33</v>
      </c>
      <c r="B37">
        <v>143</v>
      </c>
      <c r="C37" t="s">
        <v>571</v>
      </c>
      <c r="D37">
        <v>143</v>
      </c>
      <c r="E37">
        <v>2</v>
      </c>
      <c r="F37">
        <v>5</v>
      </c>
      <c r="G37" t="s">
        <v>572</v>
      </c>
      <c r="H37" t="s">
        <v>572</v>
      </c>
      <c r="I37" t="s">
        <v>12</v>
      </c>
    </row>
    <row r="38" spans="1:9" x14ac:dyDescent="0.25">
      <c r="A38">
        <v>33</v>
      </c>
      <c r="B38">
        <v>72</v>
      </c>
      <c r="C38" t="s">
        <v>571</v>
      </c>
      <c r="D38">
        <v>72</v>
      </c>
      <c r="E38">
        <v>2</v>
      </c>
      <c r="F38">
        <v>5</v>
      </c>
      <c r="G38" t="s">
        <v>572</v>
      </c>
      <c r="H38" t="s">
        <v>572</v>
      </c>
      <c r="I38" t="s">
        <v>12</v>
      </c>
    </row>
    <row r="39" spans="1:9" x14ac:dyDescent="0.25">
      <c r="A39">
        <v>34</v>
      </c>
      <c r="B39">
        <v>219</v>
      </c>
      <c r="C39" t="s">
        <v>571</v>
      </c>
      <c r="D39">
        <v>219</v>
      </c>
      <c r="E39">
        <v>5</v>
      </c>
      <c r="F39">
        <v>2</v>
      </c>
      <c r="G39" t="s">
        <v>572</v>
      </c>
      <c r="H39" t="s">
        <v>572</v>
      </c>
      <c r="I39" t="s">
        <v>12</v>
      </c>
    </row>
    <row r="40" spans="1:9" x14ac:dyDescent="0.25">
      <c r="A40">
        <v>34</v>
      </c>
      <c r="B40">
        <v>49</v>
      </c>
      <c r="C40" t="s">
        <v>571</v>
      </c>
      <c r="D40">
        <v>49</v>
      </c>
      <c r="E40">
        <v>5</v>
      </c>
      <c r="F40">
        <v>2</v>
      </c>
      <c r="G40" t="s">
        <v>572</v>
      </c>
      <c r="H40" t="s">
        <v>572</v>
      </c>
      <c r="I40" t="s">
        <v>12</v>
      </c>
    </row>
    <row r="41" spans="1:9" x14ac:dyDescent="0.25">
      <c r="A41">
        <v>34</v>
      </c>
      <c r="B41" t="s">
        <v>569</v>
      </c>
      <c r="C41" t="s">
        <v>567</v>
      </c>
      <c r="D41" t="s">
        <v>569</v>
      </c>
      <c r="E41">
        <v>5</v>
      </c>
      <c r="F41">
        <v>2</v>
      </c>
      <c r="G41" t="s">
        <v>25</v>
      </c>
      <c r="H41" t="s">
        <v>25</v>
      </c>
      <c r="I41" t="s">
        <v>12</v>
      </c>
    </row>
    <row r="42" spans="1:9" x14ac:dyDescent="0.25">
      <c r="A42">
        <v>35</v>
      </c>
      <c r="B42">
        <v>92</v>
      </c>
      <c r="C42" t="s">
        <v>571</v>
      </c>
      <c r="D42">
        <v>92</v>
      </c>
      <c r="E42">
        <v>5</v>
      </c>
      <c r="F42">
        <v>5</v>
      </c>
      <c r="G42" t="s">
        <v>572</v>
      </c>
      <c r="H42" t="s">
        <v>577</v>
      </c>
      <c r="I42" t="s">
        <v>12</v>
      </c>
    </row>
    <row r="43" spans="1:9" x14ac:dyDescent="0.25">
      <c r="A43">
        <v>36</v>
      </c>
      <c r="B43">
        <v>241</v>
      </c>
      <c r="C43" t="s">
        <v>571</v>
      </c>
      <c r="D43">
        <v>241</v>
      </c>
      <c r="E43">
        <v>13</v>
      </c>
      <c r="F43">
        <v>13</v>
      </c>
      <c r="G43" t="s">
        <v>572</v>
      </c>
      <c r="H43" t="s">
        <v>577</v>
      </c>
      <c r="I43" t="s">
        <v>12</v>
      </c>
    </row>
    <row r="44" spans="1:9" x14ac:dyDescent="0.25">
      <c r="A44">
        <v>37</v>
      </c>
      <c r="B44">
        <v>259</v>
      </c>
      <c r="C44" t="s">
        <v>571</v>
      </c>
      <c r="D44">
        <v>259</v>
      </c>
      <c r="E44">
        <v>14</v>
      </c>
      <c r="F44">
        <v>14</v>
      </c>
      <c r="G44" t="s">
        <v>572</v>
      </c>
      <c r="H44" t="s">
        <v>577</v>
      </c>
      <c r="I44" t="s">
        <v>12</v>
      </c>
    </row>
    <row r="45" spans="1:9" x14ac:dyDescent="0.25">
      <c r="A45">
        <v>38</v>
      </c>
      <c r="B45">
        <v>133</v>
      </c>
      <c r="C45" t="s">
        <v>571</v>
      </c>
      <c r="D45">
        <v>133</v>
      </c>
      <c r="E45">
        <v>5</v>
      </c>
      <c r="F45">
        <v>5</v>
      </c>
      <c r="G45" t="s">
        <v>572</v>
      </c>
      <c r="H45" t="s">
        <v>577</v>
      </c>
      <c r="I45" t="s">
        <v>12</v>
      </c>
    </row>
    <row r="46" spans="1:9" x14ac:dyDescent="0.25">
      <c r="A46">
        <v>38</v>
      </c>
      <c r="B46">
        <v>139</v>
      </c>
      <c r="C46" t="s">
        <v>571</v>
      </c>
      <c r="D46">
        <v>139</v>
      </c>
      <c r="E46">
        <v>5</v>
      </c>
      <c r="F46">
        <v>5</v>
      </c>
      <c r="G46" t="s">
        <v>577</v>
      </c>
      <c r="H46" t="s">
        <v>572</v>
      </c>
      <c r="I46" t="s">
        <v>12</v>
      </c>
    </row>
    <row r="47" spans="1:9" x14ac:dyDescent="0.25">
      <c r="A47">
        <v>39</v>
      </c>
      <c r="B47">
        <v>273</v>
      </c>
      <c r="C47" t="s">
        <v>571</v>
      </c>
      <c r="D47">
        <v>273</v>
      </c>
      <c r="E47">
        <v>14</v>
      </c>
      <c r="F47">
        <v>14</v>
      </c>
      <c r="G47" t="s">
        <v>577</v>
      </c>
      <c r="H47" t="s">
        <v>572</v>
      </c>
      <c r="I47" t="s">
        <v>12</v>
      </c>
    </row>
    <row r="48" spans="1:9" x14ac:dyDescent="0.25">
      <c r="A48">
        <v>40</v>
      </c>
      <c r="B48">
        <v>49</v>
      </c>
      <c r="C48" t="s">
        <v>571</v>
      </c>
      <c r="D48">
        <v>49</v>
      </c>
      <c r="E48">
        <v>2</v>
      </c>
      <c r="F48">
        <v>2</v>
      </c>
      <c r="G48" t="s">
        <v>572</v>
      </c>
      <c r="H48" t="s">
        <v>577</v>
      </c>
      <c r="I48" t="s">
        <v>12</v>
      </c>
    </row>
    <row r="49" spans="1:10" x14ac:dyDescent="0.25">
      <c r="A49">
        <v>40</v>
      </c>
      <c r="B49">
        <v>8</v>
      </c>
      <c r="C49" t="s">
        <v>571</v>
      </c>
      <c r="D49">
        <v>8</v>
      </c>
      <c r="E49">
        <v>2</v>
      </c>
      <c r="F49">
        <v>2</v>
      </c>
      <c r="G49" t="s">
        <v>572</v>
      </c>
      <c r="H49" t="s">
        <v>577</v>
      </c>
      <c r="I49" t="s">
        <v>12</v>
      </c>
    </row>
    <row r="50" spans="1:10" x14ac:dyDescent="0.25">
      <c r="A50">
        <v>40</v>
      </c>
      <c r="B50">
        <v>290</v>
      </c>
      <c r="C50" t="s">
        <v>571</v>
      </c>
      <c r="D50">
        <v>290</v>
      </c>
      <c r="E50">
        <v>2</v>
      </c>
      <c r="F50">
        <v>2</v>
      </c>
      <c r="G50" t="s">
        <v>572</v>
      </c>
      <c r="H50" t="s">
        <v>577</v>
      </c>
      <c r="I50" t="s">
        <v>12</v>
      </c>
    </row>
    <row r="51" spans="1:10" x14ac:dyDescent="0.25">
      <c r="A51">
        <v>41</v>
      </c>
      <c r="B51">
        <v>209</v>
      </c>
      <c r="C51" t="s">
        <v>571</v>
      </c>
      <c r="D51">
        <v>209</v>
      </c>
      <c r="E51">
        <v>5</v>
      </c>
      <c r="F51" t="s">
        <v>25</v>
      </c>
      <c r="G51" t="s">
        <v>572</v>
      </c>
      <c r="H51" t="s">
        <v>25</v>
      </c>
      <c r="I51" t="s">
        <v>12</v>
      </c>
      <c r="J51" t="s">
        <v>578</v>
      </c>
    </row>
    <row r="52" spans="1:10" x14ac:dyDescent="0.25">
      <c r="A52">
        <v>42</v>
      </c>
      <c r="B52">
        <v>94</v>
      </c>
      <c r="C52" t="s">
        <v>571</v>
      </c>
      <c r="D52">
        <v>94</v>
      </c>
      <c r="E52">
        <v>13</v>
      </c>
      <c r="F52" t="s">
        <v>25</v>
      </c>
      <c r="G52" t="s">
        <v>572</v>
      </c>
      <c r="H52" t="s">
        <v>25</v>
      </c>
      <c r="I52" t="s">
        <v>12</v>
      </c>
      <c r="J52" t="s">
        <v>579</v>
      </c>
    </row>
    <row r="53" spans="1:10" x14ac:dyDescent="0.25">
      <c r="A53">
        <v>1</v>
      </c>
      <c r="B53">
        <v>1</v>
      </c>
      <c r="C53" t="s">
        <v>571</v>
      </c>
      <c r="D53">
        <v>420</v>
      </c>
      <c r="E53">
        <v>6</v>
      </c>
      <c r="F53">
        <v>1</v>
      </c>
      <c r="G53" t="s">
        <v>551</v>
      </c>
      <c r="H53" t="s">
        <v>551</v>
      </c>
      <c r="I53" t="s">
        <v>12</v>
      </c>
    </row>
    <row r="54" spans="1:10" x14ac:dyDescent="0.25">
      <c r="A54">
        <v>1</v>
      </c>
      <c r="B54">
        <v>2</v>
      </c>
      <c r="C54" t="s">
        <v>567</v>
      </c>
      <c r="D54" t="s">
        <v>580</v>
      </c>
      <c r="E54">
        <v>6</v>
      </c>
      <c r="F54">
        <v>1</v>
      </c>
      <c r="I54" t="s">
        <v>12</v>
      </c>
    </row>
    <row r="55" spans="1:10" x14ac:dyDescent="0.25">
      <c r="A55">
        <v>1</v>
      </c>
      <c r="B55">
        <v>3</v>
      </c>
      <c r="C55" t="s">
        <v>571</v>
      </c>
      <c r="D55">
        <v>419</v>
      </c>
      <c r="E55">
        <v>1</v>
      </c>
      <c r="F55">
        <v>6</v>
      </c>
      <c r="G55" t="s">
        <v>551</v>
      </c>
      <c r="H55" t="s">
        <v>551</v>
      </c>
      <c r="I55" t="s">
        <v>12</v>
      </c>
    </row>
    <row r="56" spans="1:10" x14ac:dyDescent="0.25">
      <c r="A56">
        <v>2</v>
      </c>
      <c r="B56">
        <v>1</v>
      </c>
      <c r="C56" t="s">
        <v>567</v>
      </c>
      <c r="D56" t="s">
        <v>580</v>
      </c>
      <c r="E56">
        <v>6</v>
      </c>
      <c r="F56">
        <v>1</v>
      </c>
      <c r="I56" t="s">
        <v>12</v>
      </c>
    </row>
    <row r="57" spans="1:10" x14ac:dyDescent="0.25">
      <c r="A57">
        <v>3</v>
      </c>
      <c r="B57">
        <v>4</v>
      </c>
      <c r="C57" t="s">
        <v>571</v>
      </c>
      <c r="D57">
        <v>421</v>
      </c>
      <c r="E57">
        <v>7</v>
      </c>
      <c r="F57">
        <v>7</v>
      </c>
      <c r="G57" t="s">
        <v>551</v>
      </c>
      <c r="H57" t="s">
        <v>554</v>
      </c>
      <c r="I57" t="s">
        <v>12</v>
      </c>
    </row>
    <row r="58" spans="1:10" x14ac:dyDescent="0.25">
      <c r="A58">
        <v>4</v>
      </c>
      <c r="B58">
        <v>1</v>
      </c>
      <c r="C58" t="s">
        <v>571</v>
      </c>
      <c r="D58">
        <v>130</v>
      </c>
      <c r="E58">
        <v>7</v>
      </c>
      <c r="F58">
        <v>5</v>
      </c>
      <c r="G58" t="s">
        <v>551</v>
      </c>
      <c r="H58" t="s">
        <v>551</v>
      </c>
      <c r="I58" t="s">
        <v>12</v>
      </c>
    </row>
    <row r="59" spans="1:10" x14ac:dyDescent="0.25">
      <c r="A59">
        <v>4</v>
      </c>
      <c r="B59">
        <v>2</v>
      </c>
      <c r="C59" t="s">
        <v>567</v>
      </c>
      <c r="D59" t="s">
        <v>576</v>
      </c>
      <c r="E59">
        <v>5</v>
      </c>
      <c r="F59">
        <v>7</v>
      </c>
      <c r="I59" t="s">
        <v>12</v>
      </c>
    </row>
    <row r="60" spans="1:10" x14ac:dyDescent="0.25">
      <c r="A60">
        <v>4</v>
      </c>
      <c r="B60">
        <v>3</v>
      </c>
      <c r="C60" t="s">
        <v>567</v>
      </c>
      <c r="D60" t="s">
        <v>570</v>
      </c>
      <c r="E60">
        <v>5</v>
      </c>
      <c r="F60">
        <v>7</v>
      </c>
      <c r="I60" t="s">
        <v>12</v>
      </c>
    </row>
    <row r="61" spans="1:10" x14ac:dyDescent="0.25">
      <c r="A61">
        <v>6</v>
      </c>
      <c r="B61">
        <v>1</v>
      </c>
      <c r="C61" t="s">
        <v>571</v>
      </c>
      <c r="D61">
        <v>49</v>
      </c>
      <c r="E61">
        <v>2</v>
      </c>
      <c r="F61">
        <v>2</v>
      </c>
      <c r="G61" t="s">
        <v>577</v>
      </c>
      <c r="H61" t="s">
        <v>572</v>
      </c>
      <c r="I61" t="s">
        <v>12</v>
      </c>
    </row>
    <row r="62" spans="1:10" x14ac:dyDescent="0.25">
      <c r="A62">
        <v>6</v>
      </c>
      <c r="B62">
        <v>2</v>
      </c>
      <c r="C62" t="s">
        <v>571</v>
      </c>
      <c r="D62">
        <v>423</v>
      </c>
      <c r="E62">
        <v>2</v>
      </c>
      <c r="F62">
        <v>2</v>
      </c>
      <c r="G62" t="s">
        <v>551</v>
      </c>
      <c r="H62" t="s">
        <v>554</v>
      </c>
      <c r="I62" t="s">
        <v>12</v>
      </c>
    </row>
    <row r="63" spans="1:10" x14ac:dyDescent="0.25">
      <c r="A63">
        <v>5</v>
      </c>
      <c r="B63">
        <v>1</v>
      </c>
      <c r="C63" t="s">
        <v>571</v>
      </c>
      <c r="D63">
        <v>435</v>
      </c>
      <c r="E63">
        <v>7</v>
      </c>
      <c r="F63">
        <v>7</v>
      </c>
      <c r="G63" t="s">
        <v>551</v>
      </c>
      <c r="H63" t="s">
        <v>554</v>
      </c>
      <c r="I63" t="s">
        <v>12</v>
      </c>
    </row>
    <row r="64" spans="1:10" x14ac:dyDescent="0.25">
      <c r="A64">
        <v>5</v>
      </c>
      <c r="B64">
        <v>2</v>
      </c>
      <c r="C64" t="s">
        <v>571</v>
      </c>
      <c r="D64">
        <v>437</v>
      </c>
      <c r="E64">
        <v>7</v>
      </c>
      <c r="F64">
        <v>7</v>
      </c>
      <c r="G64" t="s">
        <v>551</v>
      </c>
      <c r="H64" t="s">
        <v>554</v>
      </c>
      <c r="I64" t="s">
        <v>12</v>
      </c>
    </row>
    <row r="65" spans="1:9" x14ac:dyDescent="0.25">
      <c r="A65">
        <v>7</v>
      </c>
      <c r="B65">
        <v>1</v>
      </c>
      <c r="C65" t="s">
        <v>571</v>
      </c>
      <c r="D65">
        <v>434</v>
      </c>
      <c r="E65">
        <v>7</v>
      </c>
      <c r="F65">
        <v>7</v>
      </c>
      <c r="G65" t="s">
        <v>551</v>
      </c>
      <c r="H65" t="s">
        <v>554</v>
      </c>
      <c r="I65" t="s">
        <v>12</v>
      </c>
    </row>
    <row r="66" spans="1:9" x14ac:dyDescent="0.25">
      <c r="A66">
        <v>7</v>
      </c>
      <c r="B66">
        <v>2</v>
      </c>
      <c r="C66" t="s">
        <v>571</v>
      </c>
      <c r="D66">
        <v>437</v>
      </c>
      <c r="E66">
        <v>7</v>
      </c>
      <c r="F66">
        <v>7</v>
      </c>
      <c r="G66" t="s">
        <v>554</v>
      </c>
      <c r="H66" t="s">
        <v>551</v>
      </c>
      <c r="I66" t="s">
        <v>12</v>
      </c>
    </row>
    <row r="67" spans="1:9" x14ac:dyDescent="0.25">
      <c r="A67">
        <v>8</v>
      </c>
      <c r="B67">
        <v>1</v>
      </c>
      <c r="C67" t="s">
        <v>571</v>
      </c>
      <c r="D67">
        <v>437</v>
      </c>
      <c r="E67">
        <v>7</v>
      </c>
      <c r="F67">
        <v>7</v>
      </c>
      <c r="G67" t="s">
        <v>551</v>
      </c>
      <c r="H67" t="s">
        <v>554</v>
      </c>
      <c r="I67" t="s">
        <v>12</v>
      </c>
    </row>
    <row r="68" spans="1:9" x14ac:dyDescent="0.25">
      <c r="A68">
        <v>8</v>
      </c>
      <c r="B68">
        <v>2</v>
      </c>
      <c r="C68" t="s">
        <v>571</v>
      </c>
      <c r="D68">
        <v>434</v>
      </c>
      <c r="E68">
        <v>7</v>
      </c>
      <c r="F68">
        <v>7</v>
      </c>
      <c r="G68" t="s">
        <v>554</v>
      </c>
      <c r="H68" t="s">
        <v>551</v>
      </c>
      <c r="I68" t="s">
        <v>12</v>
      </c>
    </row>
    <row r="69" spans="1:9" x14ac:dyDescent="0.25">
      <c r="A69">
        <v>9</v>
      </c>
      <c r="B69">
        <v>1</v>
      </c>
      <c r="C69" t="s">
        <v>567</v>
      </c>
      <c r="D69" t="s">
        <v>581</v>
      </c>
      <c r="E69">
        <v>2</v>
      </c>
      <c r="F69">
        <v>13</v>
      </c>
      <c r="I69" t="s">
        <v>12</v>
      </c>
    </row>
    <row r="70" spans="1:9" x14ac:dyDescent="0.25">
      <c r="A70">
        <v>9</v>
      </c>
      <c r="B70">
        <v>2</v>
      </c>
      <c r="C70" t="s">
        <v>567</v>
      </c>
      <c r="D70" t="s">
        <v>582</v>
      </c>
      <c r="E70">
        <v>13</v>
      </c>
      <c r="F70">
        <v>2</v>
      </c>
      <c r="I70" t="s">
        <v>12</v>
      </c>
    </row>
    <row r="71" spans="1:9" x14ac:dyDescent="0.25">
      <c r="A71">
        <v>10</v>
      </c>
      <c r="B71">
        <v>1</v>
      </c>
      <c r="C71" t="s">
        <v>571</v>
      </c>
      <c r="D71">
        <v>93</v>
      </c>
      <c r="E71">
        <v>6</v>
      </c>
      <c r="G71" t="s">
        <v>551</v>
      </c>
      <c r="I71" t="s">
        <v>12</v>
      </c>
    </row>
    <row r="72" spans="1:9" x14ac:dyDescent="0.25">
      <c r="A72">
        <v>11</v>
      </c>
      <c r="B72">
        <v>1</v>
      </c>
      <c r="C72" t="s">
        <v>571</v>
      </c>
      <c r="D72">
        <v>158</v>
      </c>
      <c r="E72">
        <v>7</v>
      </c>
      <c r="G72" t="s">
        <v>551</v>
      </c>
      <c r="I72" t="s">
        <v>12</v>
      </c>
    </row>
    <row r="73" spans="1:9" x14ac:dyDescent="0.25">
      <c r="A73">
        <v>12</v>
      </c>
      <c r="B73">
        <v>1</v>
      </c>
      <c r="C73" t="s">
        <v>571</v>
      </c>
      <c r="D73">
        <v>419</v>
      </c>
      <c r="E73">
        <v>6</v>
      </c>
      <c r="F73">
        <v>6</v>
      </c>
      <c r="G73" t="s">
        <v>551</v>
      </c>
      <c r="H73" t="s">
        <v>554</v>
      </c>
      <c r="I73" t="s">
        <v>583</v>
      </c>
    </row>
    <row r="74" spans="1:9" x14ac:dyDescent="0.25">
      <c r="A74">
        <v>12</v>
      </c>
      <c r="B74">
        <v>2</v>
      </c>
      <c r="C74" t="s">
        <v>571</v>
      </c>
      <c r="D74">
        <v>444</v>
      </c>
      <c r="E74">
        <v>6</v>
      </c>
      <c r="F74">
        <v>6</v>
      </c>
      <c r="G74" t="s">
        <v>551</v>
      </c>
      <c r="H74" t="s">
        <v>554</v>
      </c>
      <c r="I74" t="s">
        <v>584</v>
      </c>
    </row>
    <row r="75" spans="1:9" x14ac:dyDescent="0.25">
      <c r="A75">
        <v>15</v>
      </c>
      <c r="B75">
        <v>1</v>
      </c>
      <c r="C75" t="s">
        <v>571</v>
      </c>
      <c r="D75">
        <v>430</v>
      </c>
      <c r="E75">
        <v>13</v>
      </c>
      <c r="G75" t="s">
        <v>551</v>
      </c>
      <c r="H75" t="s">
        <v>554</v>
      </c>
      <c r="I75" t="s">
        <v>585</v>
      </c>
    </row>
    <row r="76" spans="1:9" x14ac:dyDescent="0.25">
      <c r="A76">
        <v>15</v>
      </c>
      <c r="B76">
        <v>2</v>
      </c>
      <c r="C76" t="s">
        <v>571</v>
      </c>
      <c r="D76">
        <v>440</v>
      </c>
      <c r="E76">
        <v>13</v>
      </c>
      <c r="G76" t="s">
        <v>551</v>
      </c>
      <c r="H76" t="s">
        <v>554</v>
      </c>
      <c r="I76" t="s">
        <v>586</v>
      </c>
    </row>
    <row r="77" spans="1:9" x14ac:dyDescent="0.25">
      <c r="A77">
        <v>15</v>
      </c>
      <c r="B77">
        <v>3</v>
      </c>
      <c r="C77" t="s">
        <v>571</v>
      </c>
      <c r="D77">
        <v>426</v>
      </c>
      <c r="E77">
        <v>13</v>
      </c>
      <c r="G77" t="s">
        <v>551</v>
      </c>
      <c r="H77" t="s">
        <v>554</v>
      </c>
      <c r="I77" t="s">
        <v>587</v>
      </c>
    </row>
    <row r="78" spans="1:9" x14ac:dyDescent="0.25">
      <c r="A78">
        <v>15</v>
      </c>
      <c r="B78">
        <v>4</v>
      </c>
      <c r="C78" t="s">
        <v>571</v>
      </c>
      <c r="D78">
        <v>241</v>
      </c>
      <c r="E78">
        <v>13</v>
      </c>
      <c r="G78" t="s">
        <v>554</v>
      </c>
      <c r="H78" t="s">
        <v>551</v>
      </c>
      <c r="I78" t="s">
        <v>588</v>
      </c>
    </row>
    <row r="79" spans="1:9" x14ac:dyDescent="0.25">
      <c r="A79">
        <v>43</v>
      </c>
      <c r="B79">
        <v>1</v>
      </c>
      <c r="C79" t="s">
        <v>571</v>
      </c>
      <c r="D79">
        <v>440</v>
      </c>
      <c r="E79">
        <v>13</v>
      </c>
      <c r="G79" t="s">
        <v>551</v>
      </c>
      <c r="H79" t="s">
        <v>554</v>
      </c>
    </row>
    <row r="80" spans="1:9" x14ac:dyDescent="0.25">
      <c r="A80">
        <v>43</v>
      </c>
      <c r="B80">
        <v>2</v>
      </c>
      <c r="C80" t="s">
        <v>571</v>
      </c>
      <c r="D80">
        <v>430</v>
      </c>
      <c r="E80">
        <v>13</v>
      </c>
      <c r="G80" t="s">
        <v>551</v>
      </c>
      <c r="H80" t="s">
        <v>554</v>
      </c>
    </row>
    <row r="81" spans="1:8" x14ac:dyDescent="0.25">
      <c r="A81">
        <v>43</v>
      </c>
      <c r="B81">
        <v>3</v>
      </c>
      <c r="C81" t="s">
        <v>571</v>
      </c>
      <c r="D81">
        <v>426</v>
      </c>
      <c r="E81">
        <v>13</v>
      </c>
      <c r="G81" t="s">
        <v>551</v>
      </c>
      <c r="H81" t="s">
        <v>554</v>
      </c>
    </row>
    <row r="82" spans="1:8" x14ac:dyDescent="0.25">
      <c r="A82">
        <v>43</v>
      </c>
      <c r="B82">
        <v>4</v>
      </c>
      <c r="C82" t="s">
        <v>571</v>
      </c>
      <c r="D82">
        <v>241</v>
      </c>
      <c r="E82">
        <v>13</v>
      </c>
      <c r="G82" t="s">
        <v>554</v>
      </c>
      <c r="H82" t="s">
        <v>551</v>
      </c>
    </row>
    <row r="83" spans="1:8" x14ac:dyDescent="0.25">
      <c r="A83">
        <v>44</v>
      </c>
      <c r="B83">
        <v>1</v>
      </c>
      <c r="C83" t="s">
        <v>571</v>
      </c>
      <c r="D83">
        <v>440</v>
      </c>
      <c r="E83">
        <v>13</v>
      </c>
      <c r="G83" t="s">
        <v>551</v>
      </c>
      <c r="H83" t="s">
        <v>554</v>
      </c>
    </row>
    <row r="84" spans="1:8" x14ac:dyDescent="0.25">
      <c r="A84">
        <v>44</v>
      </c>
      <c r="B84">
        <v>2</v>
      </c>
      <c r="C84" t="s">
        <v>571</v>
      </c>
      <c r="D84">
        <v>430</v>
      </c>
      <c r="E84">
        <v>13</v>
      </c>
      <c r="G84" t="s">
        <v>551</v>
      </c>
      <c r="H84" t="s">
        <v>554</v>
      </c>
    </row>
    <row r="85" spans="1:8" x14ac:dyDescent="0.25">
      <c r="A85">
        <v>44</v>
      </c>
      <c r="B85">
        <v>3</v>
      </c>
      <c r="C85" t="s">
        <v>571</v>
      </c>
      <c r="D85">
        <v>426</v>
      </c>
      <c r="E85">
        <v>13</v>
      </c>
      <c r="G85" t="s">
        <v>551</v>
      </c>
      <c r="H85" t="s">
        <v>554</v>
      </c>
    </row>
    <row r="86" spans="1:8" x14ac:dyDescent="0.25">
      <c r="A86">
        <v>44</v>
      </c>
      <c r="B86">
        <v>4</v>
      </c>
      <c r="C86" t="s">
        <v>571</v>
      </c>
      <c r="D86">
        <v>241</v>
      </c>
      <c r="E86">
        <v>13</v>
      </c>
      <c r="G86" t="s">
        <v>554</v>
      </c>
      <c r="H86" t="s">
        <v>551</v>
      </c>
    </row>
    <row r="87" spans="1:8" x14ac:dyDescent="0.25">
      <c r="A87">
        <v>45</v>
      </c>
      <c r="B87">
        <v>1</v>
      </c>
      <c r="C87" t="s">
        <v>571</v>
      </c>
      <c r="D87">
        <v>426</v>
      </c>
      <c r="E87">
        <v>13</v>
      </c>
      <c r="F87">
        <v>13</v>
      </c>
      <c r="G87" t="s">
        <v>551</v>
      </c>
      <c r="H87" t="s">
        <v>554</v>
      </c>
    </row>
    <row r="88" spans="1:8" x14ac:dyDescent="0.25">
      <c r="A88">
        <v>45</v>
      </c>
      <c r="B88">
        <v>2</v>
      </c>
      <c r="C88" t="s">
        <v>571</v>
      </c>
      <c r="D88">
        <v>440</v>
      </c>
      <c r="E88">
        <v>13</v>
      </c>
      <c r="F88">
        <v>13</v>
      </c>
      <c r="G88" t="s">
        <v>551</v>
      </c>
      <c r="H88" t="s">
        <v>554</v>
      </c>
    </row>
    <row r="89" spans="1:8" x14ac:dyDescent="0.25">
      <c r="A89">
        <v>45</v>
      </c>
      <c r="B89">
        <v>3</v>
      </c>
      <c r="C89" t="s">
        <v>571</v>
      </c>
      <c r="D89">
        <v>430</v>
      </c>
      <c r="E89">
        <v>13</v>
      </c>
      <c r="F89">
        <v>13</v>
      </c>
      <c r="G89" t="s">
        <v>551</v>
      </c>
      <c r="H89" t="s">
        <v>554</v>
      </c>
    </row>
    <row r="90" spans="1:8" x14ac:dyDescent="0.25">
      <c r="A90">
        <v>45</v>
      </c>
      <c r="B90">
        <v>4</v>
      </c>
      <c r="C90" t="s">
        <v>571</v>
      </c>
      <c r="D90">
        <v>241</v>
      </c>
      <c r="E90">
        <v>13</v>
      </c>
      <c r="F90">
        <v>13</v>
      </c>
      <c r="G90" t="s">
        <v>554</v>
      </c>
      <c r="H90" t="s">
        <v>551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4"/>
  <sheetViews>
    <sheetView workbookViewId="0"/>
  </sheetViews>
  <sheetFormatPr defaultRowHeight="15" x14ac:dyDescent="0.25"/>
  <sheetData>
    <row r="1" spans="1:12" x14ac:dyDescent="0.25">
      <c r="A1" t="s">
        <v>504</v>
      </c>
      <c r="B1" t="s">
        <v>39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599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VLOOKUP(B15,players!A:B,2)</f>
        <v>RJ Barrett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599</v>
      </c>
      <c r="H18">
        <v>9000000</v>
      </c>
      <c r="I18" t="s">
        <v>599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599</v>
      </c>
      <c r="H21">
        <v>1000000</v>
      </c>
      <c r="I21" t="s">
        <v>599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599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599</v>
      </c>
      <c r="J29">
        <v>1000000</v>
      </c>
      <c r="K29" t="s">
        <v>599</v>
      </c>
      <c r="L29" t="str">
        <f>VLOOKUP(B29,players!A:B,2)</f>
        <v>Dailyn Swain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599</v>
      </c>
      <c r="J30">
        <v>1000000</v>
      </c>
      <c r="K30" t="s">
        <v>599</v>
      </c>
      <c r="L30" t="str">
        <f>VLOOKUP(B30,players!A:B,2)</f>
        <v>Karim López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599</v>
      </c>
      <c r="J31">
        <v>4500000</v>
      </c>
      <c r="K31" t="s">
        <v>599</v>
      </c>
      <c r="L31" t="str">
        <f>VLOOKUP(B31,players!A:B,2)</f>
        <v>Hannes Steinbach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599</v>
      </c>
      <c r="J32">
        <v>4300000</v>
      </c>
      <c r="K32" t="s">
        <v>599</v>
      </c>
      <c r="L32" t="str">
        <f>VLOOKUP(B32,players!A:B,2)</f>
        <v>Keaton Wagler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599</v>
      </c>
      <c r="L33" t="str">
        <f>VLOOKUP(B33,players!A:B,2)</f>
        <v>Cam Spencer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VLOOKUP(B34,players!A:B,2)</f>
        <v>Alperen Şengün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VLOOKUP(B35,players!A:B,2)</f>
        <v>Kevin Durant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VLOOKUP(B36,players!A:B,2)</f>
        <v>Brandon Miller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VLOOKUP(B37,players!A:B,2)</f>
        <v>Jalen Green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VLOOKUP(B38,players!A:B,2)</f>
        <v>Tyler Herro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VLOOKUP(B39,players!A:B,2)</f>
        <v>Trae Young</v>
      </c>
    </row>
    <row r="40" spans="1:12" x14ac:dyDescent="0.25">
      <c r="A40">
        <v>2</v>
      </c>
      <c r="B40">
        <v>103</v>
      </c>
      <c r="C40">
        <v>8</v>
      </c>
      <c r="L40" t="str">
        <f>VLOOKUP(B40,players!A:B,2)</f>
        <v>Russell Westbrook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VLOOKUP(B41,players!A:B,2)</f>
        <v>Bobby Portis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599</v>
      </c>
      <c r="H42">
        <v>3700000</v>
      </c>
      <c r="I42" t="s">
        <v>599</v>
      </c>
      <c r="L42" t="str">
        <f>VLOOKUP(B42,players!A:B,2)</f>
        <v>Derik Queen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VLOOKUP(B43,players!A:B,2)</f>
        <v>Immanuel Quickley</v>
      </c>
    </row>
    <row r="44" spans="1:12" x14ac:dyDescent="0.25">
      <c r="A44">
        <v>3</v>
      </c>
      <c r="B44">
        <v>237</v>
      </c>
      <c r="C44">
        <v>2</v>
      </c>
      <c r="L44" t="str">
        <f>VLOOKUP(B44,players!A:B,2)</f>
        <v>Nickeil Alexander-Walker</v>
      </c>
    </row>
    <row r="45" spans="1:12" x14ac:dyDescent="0.25">
      <c r="A45">
        <v>3</v>
      </c>
      <c r="B45">
        <v>119</v>
      </c>
      <c r="C45">
        <v>3</v>
      </c>
      <c r="L45" t="str">
        <f>VLOOKUP(B45,players!A:B,2)</f>
        <v>Kyshawn George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VLOOKUP(B46,players!A:B,2)</f>
        <v>Cameron Johnson</v>
      </c>
    </row>
    <row r="47" spans="1:12" x14ac:dyDescent="0.25">
      <c r="A47">
        <v>3</v>
      </c>
      <c r="B47">
        <v>112</v>
      </c>
      <c r="C47">
        <v>5</v>
      </c>
      <c r="L47" t="str">
        <f>VLOOKUP(B47,players!A:B,2)</f>
        <v>Myles Turner</v>
      </c>
    </row>
    <row r="48" spans="1:12" x14ac:dyDescent="0.25">
      <c r="A48">
        <v>3</v>
      </c>
      <c r="B48">
        <v>23</v>
      </c>
      <c r="C48">
        <v>6</v>
      </c>
      <c r="L48" t="str">
        <f>VLOOKUP(B48,players!A:B,2)</f>
        <v>Mitchell Robinson</v>
      </c>
    </row>
    <row r="49" spans="1:12" x14ac:dyDescent="0.25">
      <c r="A49">
        <v>3</v>
      </c>
      <c r="B49">
        <v>11</v>
      </c>
      <c r="C49">
        <v>7</v>
      </c>
      <c r="L49" t="str">
        <f>VLOOKUP(B49,players!A:B,2)</f>
        <v>Jalen Duren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VLOOKUP(B50,players!A:B,2)</f>
        <v>Luka Dončić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VLOOKUP(B51,players!A:B,2)</f>
        <v>Kawhi Leonard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VLOOKUP(B52,players!A:B,2)</f>
        <v>Jaren Jackson Jr.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VLOOKUP(B53,players!A:B,2)</f>
        <v>OG Anunoby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VLOOKUP(B54,players!A:B,2)</f>
        <v>Kyrie Irving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VLOOKUP(B55,players!A:B,2)</f>
        <v>Zach LaVine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599</v>
      </c>
      <c r="J56">
        <v>3900000</v>
      </c>
      <c r="K56" t="s">
        <v>599</v>
      </c>
      <c r="L56" t="str">
        <f>VLOOKUP(B56,players!A:B,2)</f>
        <v>Brayden Burries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599</v>
      </c>
      <c r="H57">
        <v>1000000</v>
      </c>
      <c r="I57" t="s">
        <v>599</v>
      </c>
      <c r="L57" t="str">
        <f>VLOOKUP(B57,players!A:B,2)</f>
        <v>Nolan Traoré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599</v>
      </c>
      <c r="L58" t="str">
        <f>VLOOKUP(B58,players!A:B,2)</f>
        <v>Jared McCain</v>
      </c>
    </row>
    <row r="59" spans="1:12" x14ac:dyDescent="0.25">
      <c r="A59">
        <v>4</v>
      </c>
      <c r="B59">
        <v>104</v>
      </c>
      <c r="C59">
        <v>3</v>
      </c>
      <c r="L59" t="str">
        <f>VLOOKUP(B59,players!A:B,2)</f>
        <v>Keldon Johnson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VLOOKUP(B60,players!A:B,2)</f>
        <v>Santi Aldama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VLOOKUP(B61,players!A:B,2)</f>
        <v>Deandre Ayton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VLOOKUP(B62,players!A:B,2)</f>
        <v>Nic Claxton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VLOOKUP(B63,players!A:B,2)</f>
        <v>Bam Adebayo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VLOOKUP(B64,players!A:B,2)</f>
        <v>Jaylen Brown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599</v>
      </c>
      <c r="L65" t="str">
        <f>VLOOKUP(B65,players!A:B,2)</f>
        <v>Stephon Castle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VLOOKUP(B66,players!A:B,2)</f>
        <v>Franz Wagner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VLOOKUP(B67,players!A:B,2)</f>
        <v>Donovan Mitchell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VLOOKUP(B68,players!A:B,2)</f>
        <v>DeMar DeRozan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599</v>
      </c>
      <c r="J69">
        <v>6000000</v>
      </c>
      <c r="K69" t="s">
        <v>599</v>
      </c>
      <c r="L69" t="str">
        <f>VLOOKUP(B69,players!A:B,2)</f>
        <v>Kingston Flemings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599</v>
      </c>
      <c r="J70">
        <v>1000000</v>
      </c>
      <c r="K70" t="s">
        <v>599</v>
      </c>
      <c r="L70" t="str">
        <f>VLOOKUP(B70,players!A:B,2)</f>
        <v>Henry Veesaar</v>
      </c>
    </row>
    <row r="71" spans="1:12" x14ac:dyDescent="0.25">
      <c r="A71">
        <v>5</v>
      </c>
      <c r="B71">
        <v>305</v>
      </c>
      <c r="C71">
        <v>1</v>
      </c>
      <c r="L71" t="str">
        <f>VLOOKUP(B71,players!A:B,2)</f>
        <v>Dennis Schröder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599</v>
      </c>
      <c r="H72">
        <v>4100000</v>
      </c>
      <c r="I72" t="s">
        <v>599</v>
      </c>
      <c r="L72" t="str">
        <f>VLOOKUP(B72,players!A:B,2)</f>
        <v>Egor Dёmin</v>
      </c>
    </row>
    <row r="73" spans="1:12" x14ac:dyDescent="0.25">
      <c r="A73">
        <v>5</v>
      </c>
      <c r="B73">
        <v>274</v>
      </c>
      <c r="C73">
        <v>3</v>
      </c>
      <c r="L73" t="str">
        <f>VLOOKUP(B73,players!A:B,2)</f>
        <v>Grayson Allen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VLOOKUP(B74,players!A:B,2)</f>
        <v>James Harden</v>
      </c>
    </row>
    <row r="75" spans="1:12" x14ac:dyDescent="0.25">
      <c r="A75">
        <v>5</v>
      </c>
      <c r="B75">
        <v>131</v>
      </c>
      <c r="C75">
        <v>5</v>
      </c>
      <c r="L75" t="str">
        <f>VLOOKUP(B75,players!A:B,2)</f>
        <v>Isaiah Stewart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599</v>
      </c>
      <c r="H76">
        <v>1000000</v>
      </c>
      <c r="I76" t="s">
        <v>599</v>
      </c>
      <c r="L76" t="str">
        <f>VLOOKUP(B76,players!A:B,2)</f>
        <v>Danny Wolf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VLOOKUP(B77,players!A:B,2)</f>
        <v>Joel Embiid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VLOOKUP(B78,players!A:B,2)</f>
        <v>Giannis Antetokounmpo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VLOOKUP(B79,players!A:B,2)</f>
        <v>Naz Reid</v>
      </c>
    </row>
    <row r="80" spans="1:12" x14ac:dyDescent="0.25">
      <c r="A80">
        <v>5</v>
      </c>
      <c r="B80">
        <v>227</v>
      </c>
      <c r="C80">
        <v>10</v>
      </c>
      <c r="L80" t="str">
        <f>VLOOKUP(B80,players!A:B,2)</f>
        <v>Jerami Grant</v>
      </c>
    </row>
    <row r="81" spans="1:12" x14ac:dyDescent="0.25">
      <c r="A81">
        <v>5</v>
      </c>
      <c r="B81">
        <v>48</v>
      </c>
      <c r="C81">
        <v>11</v>
      </c>
      <c r="L81" t="str">
        <f>VLOOKUP(B81,players!A:B,2)</f>
        <v>Michael Porter Jr.</v>
      </c>
    </row>
    <row r="82" spans="1:12" x14ac:dyDescent="0.25">
      <c r="A82">
        <v>5</v>
      </c>
      <c r="B82">
        <v>148</v>
      </c>
      <c r="C82">
        <v>12</v>
      </c>
      <c r="L82" t="str">
        <f>VLOOKUP(B82,players!A:B,2)</f>
        <v>Royce O'Neale</v>
      </c>
    </row>
    <row r="83" spans="1:12" x14ac:dyDescent="0.25">
      <c r="A83">
        <v>5</v>
      </c>
      <c r="B83">
        <v>152</v>
      </c>
      <c r="C83">
        <v>12</v>
      </c>
      <c r="L83" t="str">
        <f>VLOOKUP(B83,players!A:B,2)</f>
        <v>Ryan Rollins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599</v>
      </c>
      <c r="J84">
        <v>10000000</v>
      </c>
      <c r="K84" t="s">
        <v>599</v>
      </c>
      <c r="L84" t="str">
        <f>VLOOKUP(B84,players!A:B,2)</f>
        <v>Caleb Wilson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599</v>
      </c>
      <c r="J85">
        <v>3500000</v>
      </c>
      <c r="K85" t="s">
        <v>599</v>
      </c>
      <c r="L85" t="str">
        <f>VLOOKUP(B85,players!A:B,2)</f>
        <v>Yaxel Lendeborg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VLOOKUP(B86,players!A:B,2)</f>
        <v>Derrick White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VLOOKUP(B87,players!A:B,2)</f>
        <v>D'Angelo Russell</v>
      </c>
    </row>
    <row r="88" spans="1:12" x14ac:dyDescent="0.25">
      <c r="A88">
        <v>6</v>
      </c>
      <c r="B88">
        <v>45</v>
      </c>
      <c r="C88">
        <v>3</v>
      </c>
      <c r="L88" t="str">
        <f>VLOOKUP(B88,players!A:B,2)</f>
        <v>Josh Hart</v>
      </c>
    </row>
    <row r="89" spans="1:12" x14ac:dyDescent="0.25">
      <c r="A89">
        <v>6</v>
      </c>
      <c r="B89">
        <v>122</v>
      </c>
      <c r="C89">
        <v>4</v>
      </c>
      <c r="L89" t="str">
        <f>VLOOKUP(B89,players!A:B,2)</f>
        <v>Tobias Harris</v>
      </c>
    </row>
    <row r="90" spans="1:12" x14ac:dyDescent="0.25">
      <c r="A90">
        <v>6</v>
      </c>
      <c r="B90">
        <v>98</v>
      </c>
      <c r="C90">
        <v>5</v>
      </c>
      <c r="L90" t="str">
        <f>VLOOKUP(B90,players!A:B,2)</f>
        <v>Draymond Green</v>
      </c>
    </row>
    <row r="91" spans="1:12" x14ac:dyDescent="0.25">
      <c r="A91">
        <v>6</v>
      </c>
      <c r="B91">
        <v>13</v>
      </c>
      <c r="C91">
        <v>6</v>
      </c>
      <c r="L91" t="str">
        <f>VLOOKUP(B91,players!A:B,2)</f>
        <v>Jusuf Nurkić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VLOOKUP(B92,players!A:B,2)</f>
        <v>Nikola Jokić</v>
      </c>
    </row>
    <row r="93" spans="1:12" x14ac:dyDescent="0.25">
      <c r="A93">
        <v>6</v>
      </c>
      <c r="B93">
        <v>27</v>
      </c>
      <c r="C93">
        <v>8</v>
      </c>
      <c r="L93" t="str">
        <f>VLOOKUP(B93,players!A:B,2)</f>
        <v>Paolo Banchero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VLOOKUP(B94,players!A:B,2)</f>
        <v>Miles Bridges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VLOOKUP(B95,players!A:B,2)</f>
        <v>Cade Cunningham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VLOOKUP(B96,players!A:B,2)</f>
        <v>Jabari Smith Jr.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VLOOKUP(B97,players!A:B,2)</f>
        <v>Keyonte George</v>
      </c>
    </row>
    <row r="98" spans="1:12" x14ac:dyDescent="0.25">
      <c r="A98">
        <v>6</v>
      </c>
      <c r="B98">
        <v>161</v>
      </c>
      <c r="C98">
        <v>13</v>
      </c>
      <c r="L98" t="str">
        <f>VLOOKUP(B98,players!A:B,2)</f>
        <v>Damian Lillard</v>
      </c>
    </row>
    <row r="99" spans="1:12" x14ac:dyDescent="0.25">
      <c r="A99">
        <v>6</v>
      </c>
      <c r="B99">
        <v>71</v>
      </c>
      <c r="C99">
        <v>15</v>
      </c>
      <c r="L99" t="str">
        <f>VLOOKUP(B99,players!A:B,2)</f>
        <v>Tari Eason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599</v>
      </c>
      <c r="J100">
        <v>7500000</v>
      </c>
      <c r="K100" t="s">
        <v>599</v>
      </c>
      <c r="L100" t="str">
        <f>VLOOKUP(B100,players!A:B,2)</f>
        <v>Darryn Peterson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599</v>
      </c>
      <c r="L101" t="str">
        <f>VLOOKUP(B101,players!A:B,2)</f>
        <v>Bub Carrington</v>
      </c>
    </row>
    <row r="102" spans="1:12" x14ac:dyDescent="0.25">
      <c r="A102">
        <v>8</v>
      </c>
      <c r="B102">
        <v>154</v>
      </c>
      <c r="C102">
        <v>2</v>
      </c>
      <c r="L102" t="str">
        <f>VLOOKUP(B102,players!A:B,2)</f>
        <v>Jrue Holiday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599</v>
      </c>
      <c r="H103">
        <v>1000000</v>
      </c>
      <c r="I103" t="s">
        <v>599</v>
      </c>
      <c r="L103" t="str">
        <f>VLOOKUP(B103,players!A:B,2)</f>
        <v>Cedric Coward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VLOOKUP(B104,players!A:B,2)</f>
        <v>Aaron Gordon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VLOOKUP(B105,players!A:B,2)</f>
        <v>Kristaps Porziņģis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599</v>
      </c>
      <c r="L106" t="str">
        <f>VLOOKUP(B106,players!A:B,2)</f>
        <v>Donovan Clingan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VLOOKUP(B107,players!A:B,2)</f>
        <v>Rudy Gobert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VLOOKUP(B108,players!A:B,2)</f>
        <v>Jalen Johnson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VLOOKUP(B109,players!A:B,2)</f>
        <v>Trey Murphy III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VLOOKUP(B110,players!A:B,2)</f>
        <v>Zion Williamson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VLOOKUP(B111,players!A:B,2)</f>
        <v>De'Aaron Fox</v>
      </c>
    </row>
    <row r="112" spans="1:12" x14ac:dyDescent="0.25">
      <c r="A112">
        <v>8</v>
      </c>
      <c r="B112">
        <v>225</v>
      </c>
      <c r="C112">
        <v>12</v>
      </c>
      <c r="L112" t="str">
        <f>VLOOKUP(B112,players!A:B,2)</f>
        <v>Norman Powell</v>
      </c>
    </row>
    <row r="113" spans="1:12" x14ac:dyDescent="0.25">
      <c r="A113">
        <v>8</v>
      </c>
      <c r="B113">
        <v>59</v>
      </c>
      <c r="C113">
        <v>13</v>
      </c>
      <c r="L113" t="str">
        <f>VLOOKUP(B113,players!A:B,2)</f>
        <v>Dyson Daniels</v>
      </c>
    </row>
    <row r="114" spans="1:12" x14ac:dyDescent="0.25">
      <c r="A114">
        <v>8</v>
      </c>
      <c r="B114">
        <v>336</v>
      </c>
      <c r="C114">
        <v>14</v>
      </c>
      <c r="L114" t="str">
        <f>VLOOKUP(B114,players!A:B,2)</f>
        <v>Collin Sexton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599</v>
      </c>
      <c r="J115">
        <v>3700000</v>
      </c>
      <c r="K115" t="s">
        <v>599</v>
      </c>
      <c r="L115" t="str">
        <f>VLOOKUP(B115,players!A:B,2)</f>
        <v>Aday Mara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599</v>
      </c>
      <c r="J116">
        <v>1000000</v>
      </c>
      <c r="K116" t="s">
        <v>599</v>
      </c>
      <c r="L116" t="str">
        <f>VLOOKUP(B116,players!A:B,2)</f>
        <v>Bennett Stirtz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599</v>
      </c>
      <c r="J117">
        <v>1000000</v>
      </c>
      <c r="K117" t="s">
        <v>599</v>
      </c>
      <c r="L117" t="str">
        <f>VLOOKUP(B117,players!A:B,2)</f>
        <v>Chris Cenac Jr.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VLOOKUP(B118,players!A:B,2)</f>
        <v>Cam Thomas</v>
      </c>
    </row>
    <row r="119" spans="1:12" x14ac:dyDescent="0.25">
      <c r="A119">
        <v>9</v>
      </c>
      <c r="B119">
        <v>240</v>
      </c>
      <c r="C119">
        <v>2</v>
      </c>
      <c r="L119" t="str">
        <f>VLOOKUP(B119,players!A:B,2)</f>
        <v>Ayo Dosunmu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VLOOKUP(B120,players!A:B,2)</f>
        <v>Devin Vassell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VLOOKUP(B121,players!A:B,2)</f>
        <v>Rui Hachimura</v>
      </c>
    </row>
    <row r="122" spans="1:12" x14ac:dyDescent="0.25">
      <c r="A122">
        <v>9</v>
      </c>
      <c r="B122">
        <v>416</v>
      </c>
      <c r="C122">
        <v>5</v>
      </c>
      <c r="L122" t="str">
        <f>VLOOKUP(B122,players!A:B,2)</f>
        <v>Clint Capela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VLOOKUP(B123,players!A:B,2)</f>
        <v>Jaden McDaniels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VLOOKUP(B124,players!A:B,2)</f>
        <v>Jayson Tatum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VLOOKUP(B125,players!A:B,2)</f>
        <v>Jarrett Allen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VLOOKUP(B126,players!A:B,2)</f>
        <v>Brandon Ingram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VLOOKUP(B127,players!A:B,2)</f>
        <v>Shaedon Sharpe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VLOOKUP(B128,players!A:B,2)</f>
        <v>Stephen Curry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VLOOKUP(B129,players!A:B,2)</f>
        <v>Darius Garland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599</v>
      </c>
      <c r="J130">
        <v>1000000</v>
      </c>
      <c r="K130" t="s">
        <v>599</v>
      </c>
      <c r="L130" t="str">
        <f>VLOOKUP(B130,players!A:B,2)</f>
        <v>Ebuka Okorie</v>
      </c>
    </row>
    <row r="131" spans="1:12" x14ac:dyDescent="0.25">
      <c r="A131">
        <v>10</v>
      </c>
      <c r="B131">
        <v>9</v>
      </c>
      <c r="C131">
        <v>1</v>
      </c>
      <c r="L131" t="str">
        <f>VLOOKUP(B131,players!A:B,2)</f>
        <v>Walker Kessler</v>
      </c>
    </row>
    <row r="132" spans="1:12" x14ac:dyDescent="0.25">
      <c r="A132">
        <v>10</v>
      </c>
      <c r="B132">
        <v>373</v>
      </c>
      <c r="C132">
        <v>2</v>
      </c>
      <c r="L132" t="str">
        <f>VLOOKUP(B132,players!A:B,2)</f>
        <v>Malik Monk</v>
      </c>
    </row>
    <row r="133" spans="1:12" x14ac:dyDescent="0.25">
      <c r="A133">
        <v>10</v>
      </c>
      <c r="B133">
        <v>249</v>
      </c>
      <c r="C133">
        <v>3</v>
      </c>
      <c r="L133" t="str">
        <f>VLOOKUP(B133,players!A:B,2)</f>
        <v>Ajay Mitchell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VLOOKUP(B134,players!A:B,2)</f>
        <v>Bilal Coulibaly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VLOOKUP(B135,players!A:B,2)</f>
        <v>Mark Williams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VLOOKUP(B136,players!A:B,2)</f>
        <v>GG Jackson II</v>
      </c>
    </row>
    <row r="137" spans="1:12" x14ac:dyDescent="0.25">
      <c r="A137">
        <v>10</v>
      </c>
      <c r="B137">
        <v>28</v>
      </c>
      <c r="C137">
        <v>7</v>
      </c>
      <c r="L137" t="str">
        <f>VLOOKUP(B137,players!A:B,2)</f>
        <v>Nikola Vučević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599</v>
      </c>
      <c r="L138" t="str">
        <f>VLOOKUP(B138,players!A:B,2)</f>
        <v>Alex Sarr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VLOOKUP(B139,players!A:B,2)</f>
        <v>Julius Randle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VLOOKUP(B140,players!A:B,2)</f>
        <v>Jalen Williams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VLOOKUP(B141,players!A:B,2)</f>
        <v>Jamal Murray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VLOOKUP(B142,players!A:B,2)</f>
        <v>Jalen Brunson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599</v>
      </c>
      <c r="J143">
        <v>1000000</v>
      </c>
      <c r="K143" t="s">
        <v>599</v>
      </c>
      <c r="L143" t="str">
        <f>VLOOKUP(B143,players!A:B,2)</f>
        <v>Zuby Ejiofor</v>
      </c>
    </row>
    <row r="144" spans="1:12" x14ac:dyDescent="0.25">
      <c r="A144">
        <v>11</v>
      </c>
      <c r="B144">
        <v>327</v>
      </c>
      <c r="C144">
        <v>1</v>
      </c>
      <c r="L144" t="str">
        <f>VLOOKUP(B144,players!A:B,2)</f>
        <v>Cole Anthony</v>
      </c>
    </row>
    <row r="145" spans="1:12" x14ac:dyDescent="0.25">
      <c r="A145">
        <v>11</v>
      </c>
      <c r="B145">
        <v>213</v>
      </c>
      <c r="C145">
        <v>2</v>
      </c>
      <c r="L145" t="str">
        <f>VLOOKUP(B145,players!A:B,2)</f>
        <v>Khris Middleton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VLOOKUP(B146,players!A:B,2)</f>
        <v>John Collins</v>
      </c>
    </row>
    <row r="147" spans="1:12" x14ac:dyDescent="0.25">
      <c r="A147">
        <v>11</v>
      </c>
      <c r="B147">
        <v>58</v>
      </c>
      <c r="C147">
        <v>4</v>
      </c>
      <c r="L147" t="str">
        <f>VLOOKUP(B147,players!A:B,2)</f>
        <v>Daniel Gafford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VLOOKUP(B148,players!A:B,2)</f>
        <v>Isaiah Hartenstein</v>
      </c>
    </row>
    <row r="149" spans="1:12" x14ac:dyDescent="0.25">
      <c r="A149">
        <v>11</v>
      </c>
      <c r="B149">
        <v>63</v>
      </c>
      <c r="C149">
        <v>6</v>
      </c>
      <c r="L149" t="str">
        <f>VLOOKUP(B149,players!A:B,2)</f>
        <v>Jalen Smith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VLOOKUP(B150,players!A:B,2)</f>
        <v>Domantas Sabonis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VLOOKUP(B151,players!A:B,2)</f>
        <v>Desmond Bane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VLOOKUP(B152,players!A:B,2)</f>
        <v>Amen Thompson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VLOOKUP(B153,players!A:B,2)</f>
        <v>Shai Gilgeous-Alexander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VLOOKUP(B154,players!A:B,2)</f>
        <v>CJ McCollum</v>
      </c>
    </row>
    <row r="155" spans="1:12" x14ac:dyDescent="0.25">
      <c r="A155">
        <v>11</v>
      </c>
      <c r="B155">
        <v>109</v>
      </c>
      <c r="C155">
        <v>12</v>
      </c>
      <c r="L155" t="str">
        <f>VLOOKUP(B155,players!A:B,2)</f>
        <v>Paul George</v>
      </c>
    </row>
    <row r="156" spans="1:12" x14ac:dyDescent="0.25">
      <c r="A156">
        <v>11</v>
      </c>
      <c r="B156">
        <v>266</v>
      </c>
      <c r="C156">
        <v>13</v>
      </c>
      <c r="L156" t="str">
        <f>VLOOKUP(B156,players!A:B,2)</f>
        <v>Moritz Wagner</v>
      </c>
    </row>
    <row r="157" spans="1:12" x14ac:dyDescent="0.25">
      <c r="A157">
        <v>11</v>
      </c>
      <c r="B157">
        <v>195</v>
      </c>
      <c r="C157">
        <v>14</v>
      </c>
      <c r="L157" t="str">
        <f>VLOOKUP(B157,players!A:B,2)</f>
        <v>Payton Pritchard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599</v>
      </c>
      <c r="J158">
        <v>1000000</v>
      </c>
      <c r="K158" t="s">
        <v>599</v>
      </c>
      <c r="L158" t="str">
        <f>VLOOKUP(B158,players!A:B,2)</f>
        <v>Meleek Thomas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VLOOKUP(B159,players!A:B,2)</f>
        <v>Bradley Beal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VLOOKUP(B160,players!A:B,2)</f>
        <v>Buddy Hield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VLOOKUP(B161,players!A:B,2)</f>
        <v>Brandin Podziemski</v>
      </c>
    </row>
    <row r="162" spans="1:12" x14ac:dyDescent="0.25">
      <c r="A162">
        <v>12</v>
      </c>
      <c r="B162">
        <v>22</v>
      </c>
      <c r="C162">
        <v>4</v>
      </c>
      <c r="L162" t="str">
        <f>VLOOKUP(B162,players!A:B,2)</f>
        <v>Chet Holmgren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VLOOKUP(B163,players!A:B,2)</f>
        <v>Lauri Markkanen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VLOOKUP(B164,players!A:B,2)</f>
        <v>Devin Booker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VLOOKUP(B165,players!A:B,2)</f>
        <v>Tyrese Haliburton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VLOOKUP(B166,players!A:B,2)</f>
        <v>Kevin Porter Jr.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599</v>
      </c>
      <c r="J167">
        <v>11500000</v>
      </c>
      <c r="K167" t="s">
        <v>599</v>
      </c>
      <c r="L167" t="str">
        <f>VLOOKUP(B167,players!A:B,2)</f>
        <v>A.J. Dybantsa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599</v>
      </c>
      <c r="J168">
        <v>1000000</v>
      </c>
      <c r="K168" t="s">
        <v>599</v>
      </c>
      <c r="L168" t="str">
        <f>VLOOKUP(B168,players!A:B,2)</f>
        <v>Nate Ament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VLOOKUP(B169,players!A:B,2)</f>
        <v>Davion Mitchell</v>
      </c>
    </row>
    <row r="170" spans="1:12" x14ac:dyDescent="0.25">
      <c r="A170">
        <v>13</v>
      </c>
      <c r="B170">
        <v>363</v>
      </c>
      <c r="C170">
        <v>2</v>
      </c>
      <c r="L170" t="str">
        <f>VLOOKUP(B170,players!A:B,2)</f>
        <v>Jordan Poole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VLOOKUP(B171,players!A:B,2)</f>
        <v>Andrew Nembhard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VLOOKUP(B172,players!A:B,2)</f>
        <v>Aaron Nesmith</v>
      </c>
    </row>
    <row r="173" spans="1:12" x14ac:dyDescent="0.25">
      <c r="A173">
        <v>13</v>
      </c>
      <c r="B173">
        <v>10</v>
      </c>
      <c r="C173">
        <v>5</v>
      </c>
      <c r="L173" t="str">
        <f>VLOOKUP(B173,players!A:B,2)</f>
        <v>Ivica Zubac</v>
      </c>
    </row>
    <row r="174" spans="1:12" x14ac:dyDescent="0.25">
      <c r="A174">
        <v>13</v>
      </c>
      <c r="B174">
        <v>46</v>
      </c>
      <c r="C174">
        <v>6</v>
      </c>
      <c r="L174" t="str">
        <f>VLOOKUP(B174,players!A:B,2)</f>
        <v>Wendell Carter Jr.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VLOOKUP(B175,players!A:B,2)</f>
        <v>Victor Wembanyama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VLOOKUP(B176,players!A:B,2)</f>
        <v>Josh Giddey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VLOOKUP(B177,players!A:B,2)</f>
        <v>Deni Avdija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VLOOKUP(B178,players!A:B,2)</f>
        <v>Pascal Siakam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VLOOKUP(B179,players!A:B,2)</f>
        <v>Austin Reaves</v>
      </c>
    </row>
    <row r="180" spans="1:12" x14ac:dyDescent="0.25">
      <c r="A180">
        <v>14</v>
      </c>
      <c r="B180">
        <v>317</v>
      </c>
      <c r="C180">
        <v>1</v>
      </c>
      <c r="L180" t="str">
        <f>VLOOKUP(B182,players!A:B,2)</f>
        <v>Jaime Jaquez Jr.</v>
      </c>
    </row>
    <row r="181" spans="1:12" x14ac:dyDescent="0.25">
      <c r="A181">
        <v>14</v>
      </c>
      <c r="B181">
        <v>299</v>
      </c>
      <c r="C181">
        <v>2</v>
      </c>
      <c r="L181" t="str">
        <f>VLOOKUP(B183,players!A:B,2)</f>
        <v>Jimmy Butler</v>
      </c>
    </row>
    <row r="182" spans="1:12" x14ac:dyDescent="0.25">
      <c r="A182">
        <v>14</v>
      </c>
      <c r="B182">
        <v>129</v>
      </c>
      <c r="C182">
        <v>3</v>
      </c>
      <c r="L182" t="str">
        <f>VLOOKUP(B184,players!A:B,2)</f>
        <v>Moussa Diabaté</v>
      </c>
    </row>
    <row r="183" spans="1:12" x14ac:dyDescent="0.25">
      <c r="A183">
        <v>14</v>
      </c>
      <c r="B183">
        <v>90</v>
      </c>
      <c r="C183">
        <v>4</v>
      </c>
      <c r="L183" t="str">
        <f>VLOOKUP(B185,players!A:B,2)</f>
        <v>Coby White</v>
      </c>
    </row>
    <row r="184" spans="1:12" x14ac:dyDescent="0.25">
      <c r="A184">
        <v>14</v>
      </c>
      <c r="B184">
        <v>24</v>
      </c>
      <c r="C184">
        <v>5</v>
      </c>
      <c r="D184">
        <v>1000000</v>
      </c>
      <c r="L184" t="str">
        <f>VLOOKUP(B186,players!A:B,2)</f>
        <v>Evan Mobley</v>
      </c>
    </row>
    <row r="185" spans="1:12" x14ac:dyDescent="0.25">
      <c r="A185">
        <v>14</v>
      </c>
      <c r="B185">
        <v>238</v>
      </c>
      <c r="C185">
        <v>6</v>
      </c>
      <c r="D185">
        <v>3000000</v>
      </c>
      <c r="L185" t="str">
        <f>VLOOKUP(B187,players!A:B,2)</f>
        <v>LeBron James</v>
      </c>
    </row>
    <row r="186" spans="1:12" x14ac:dyDescent="0.25">
      <c r="A186">
        <v>14</v>
      </c>
      <c r="B186">
        <v>19</v>
      </c>
      <c r="C186">
        <v>7</v>
      </c>
      <c r="D186">
        <v>20500000</v>
      </c>
      <c r="F186">
        <v>20500000</v>
      </c>
      <c r="H186">
        <v>20500000</v>
      </c>
      <c r="L186" t="str">
        <f>VLOOKUP(B188,players!A:B,2)</f>
        <v>Cooper Flagg</v>
      </c>
    </row>
    <row r="187" spans="1:12" x14ac:dyDescent="0.25">
      <c r="A187">
        <v>14</v>
      </c>
      <c r="B187">
        <v>73</v>
      </c>
      <c r="C187">
        <v>8</v>
      </c>
      <c r="D187">
        <v>19500000</v>
      </c>
      <c r="L187" t="str">
        <f>VLOOKUP(B189,players!A:B,2)</f>
        <v>Karl-Anthony Towns</v>
      </c>
    </row>
    <row r="188" spans="1:12" x14ac:dyDescent="0.25">
      <c r="A188">
        <v>14</v>
      </c>
      <c r="B188">
        <v>61</v>
      </c>
      <c r="C188">
        <v>9</v>
      </c>
      <c r="D188">
        <v>9500000</v>
      </c>
      <c r="F188">
        <v>10500000</v>
      </c>
      <c r="G188" t="s">
        <v>599</v>
      </c>
      <c r="H188">
        <v>11500000</v>
      </c>
      <c r="I188" t="s">
        <v>599</v>
      </c>
      <c r="L188" t="str">
        <f>VLOOKUP(B190,players!A:B,2)</f>
        <v>Quentin Grimes</v>
      </c>
    </row>
    <row r="189" spans="1:12" x14ac:dyDescent="0.25">
      <c r="A189">
        <v>14</v>
      </c>
      <c r="B189">
        <v>2</v>
      </c>
      <c r="C189">
        <v>10</v>
      </c>
      <c r="L189" t="str">
        <f>VLOOKUP(B191,players!A:B,2)</f>
        <v>LaMelo Ball</v>
      </c>
    </row>
    <row r="190" spans="1:12" x14ac:dyDescent="0.25">
      <c r="A190">
        <v>14</v>
      </c>
      <c r="B190">
        <v>220</v>
      </c>
      <c r="C190">
        <v>11</v>
      </c>
      <c r="L190" t="str">
        <f>VLOOKUP(B192,players!A:B,2)</f>
        <v>Cason Wallace</v>
      </c>
    </row>
    <row r="191" spans="1:12" x14ac:dyDescent="0.25">
      <c r="A191">
        <v>14</v>
      </c>
      <c r="B191">
        <v>145</v>
      </c>
      <c r="C191">
        <v>12</v>
      </c>
      <c r="D191">
        <v>20000000</v>
      </c>
      <c r="F191">
        <v>20000000</v>
      </c>
      <c r="H191">
        <v>20000000</v>
      </c>
      <c r="L191" t="str">
        <f>VLOOKUP(B193,players!A:B,2)</f>
        <v>Allen Graves</v>
      </c>
    </row>
    <row r="192" spans="1:12" x14ac:dyDescent="0.25">
      <c r="A192">
        <v>14</v>
      </c>
      <c r="B192">
        <v>273</v>
      </c>
      <c r="C192">
        <v>13</v>
      </c>
      <c r="D192">
        <v>3200000</v>
      </c>
      <c r="F192">
        <v>3500000</v>
      </c>
      <c r="L192" t="str">
        <f>VLOOKUP(B194,players!A:B,2)</f>
        <v>Dylan Harper</v>
      </c>
    </row>
    <row r="193" spans="1:12" x14ac:dyDescent="0.25">
      <c r="A193">
        <v>7</v>
      </c>
      <c r="B193">
        <v>434</v>
      </c>
      <c r="C193">
        <v>15</v>
      </c>
      <c r="D193">
        <v>1000000</v>
      </c>
      <c r="F193">
        <v>1000000</v>
      </c>
      <c r="H193">
        <v>1000000</v>
      </c>
      <c r="I193" t="s">
        <v>599</v>
      </c>
      <c r="J193">
        <v>1000000</v>
      </c>
      <c r="K193" t="s">
        <v>599</v>
      </c>
      <c r="L193" t="e">
        <f>VLOOKUP(B196,players!A:B,2)</f>
        <v>#N/A</v>
      </c>
    </row>
    <row r="194" spans="1:12" x14ac:dyDescent="0.25">
      <c r="A194">
        <v>13</v>
      </c>
      <c r="B194">
        <v>241</v>
      </c>
      <c r="C194">
        <v>3</v>
      </c>
      <c r="D194">
        <v>8500000</v>
      </c>
      <c r="F194">
        <v>9250000</v>
      </c>
      <c r="G194" t="s">
        <v>599</v>
      </c>
      <c r="H194">
        <v>10000000</v>
      </c>
      <c r="I194" t="s">
        <v>599</v>
      </c>
      <c r="L194" t="str">
        <f>VLOOKUP(B31,players!A:B,2)</f>
        <v>Hannes Steinbach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0"/>
  <sheetViews>
    <sheetView workbookViewId="0"/>
  </sheetViews>
  <sheetFormatPr defaultRowHeight="15" x14ac:dyDescent="0.25"/>
  <sheetData>
    <row r="1" spans="1:12" x14ac:dyDescent="0.25">
      <c r="A1" t="s">
        <v>504</v>
      </c>
      <c r="B1" t="s">
        <v>39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599</v>
      </c>
      <c r="H5">
        <v>1000000</v>
      </c>
      <c r="I5" t="s">
        <v>599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599</v>
      </c>
      <c r="H6">
        <v>5500000</v>
      </c>
      <c r="I6" t="s">
        <v>599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599</v>
      </c>
      <c r="H7">
        <v>1000000</v>
      </c>
      <c r="I7" t="s">
        <v>599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599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599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599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599</v>
      </c>
      <c r="J11">
        <v>5500000</v>
      </c>
      <c r="K11" t="s">
        <v>599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599</v>
      </c>
      <c r="H12">
        <v>1000000</v>
      </c>
      <c r="I12" t="s">
        <v>599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599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599</v>
      </c>
      <c r="H14">
        <v>7500000</v>
      </c>
      <c r="I14" t="s">
        <v>599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599</v>
      </c>
      <c r="H15">
        <v>3300000</v>
      </c>
      <c r="I15" t="s">
        <v>599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599</v>
      </c>
      <c r="H16">
        <v>4500000</v>
      </c>
      <c r="I16" t="s">
        <v>599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599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599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599</v>
      </c>
      <c r="H19">
        <v>6000000</v>
      </c>
      <c r="I19" t="s">
        <v>599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599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599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599</v>
      </c>
      <c r="H22">
        <v>6500000</v>
      </c>
      <c r="I22" t="s">
        <v>599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599</v>
      </c>
      <c r="H25">
        <v>1000000</v>
      </c>
      <c r="I25" t="s">
        <v>599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599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599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599</v>
      </c>
      <c r="H30">
        <v>4100000</v>
      </c>
      <c r="I30" t="s">
        <v>599</v>
      </c>
      <c r="L30" t="str">
        <f>VLOOKUP(B30,players!A:B,2)</f>
        <v>Kaman Maluach</v>
      </c>
    </row>
    <row r="31" spans="1:12" x14ac:dyDescent="0.25">
      <c r="A31">
        <v>14</v>
      </c>
      <c r="B31">
        <v>259</v>
      </c>
      <c r="C31">
        <v>1</v>
      </c>
      <c r="D31">
        <v>1000000</v>
      </c>
      <c r="L31" t="str">
        <f>VLOOKUP(B32,players!A:B,2)</f>
        <v>Noah Essengue</v>
      </c>
    </row>
    <row r="32" spans="1:12" x14ac:dyDescent="0.25">
      <c r="A32">
        <v>14</v>
      </c>
      <c r="B32">
        <v>415</v>
      </c>
      <c r="C32">
        <v>2</v>
      </c>
      <c r="D32">
        <v>3800000</v>
      </c>
      <c r="F32">
        <v>4000000</v>
      </c>
      <c r="G32" t="s">
        <v>599</v>
      </c>
      <c r="H32">
        <v>4200000</v>
      </c>
      <c r="I32" t="s">
        <v>599</v>
      </c>
      <c r="L32" t="str">
        <f>VLOOKUP(B33,players!A:B,2)</f>
        <v>Darius Acuff</v>
      </c>
    </row>
    <row r="33" spans="1:12" x14ac:dyDescent="0.25">
      <c r="A33">
        <v>7</v>
      </c>
      <c r="B33">
        <v>421</v>
      </c>
      <c r="C33">
        <v>3</v>
      </c>
      <c r="D33">
        <v>5000000</v>
      </c>
      <c r="F33">
        <v>5500000</v>
      </c>
      <c r="H33">
        <v>6000000</v>
      </c>
      <c r="I33" t="s">
        <v>599</v>
      </c>
      <c r="J33">
        <v>6500000</v>
      </c>
      <c r="K33" t="s">
        <v>599</v>
      </c>
      <c r="L33" t="str">
        <f>VLOOKUP(B34,players!A:B,2)</f>
        <v>Labaron Philon Jr.</v>
      </c>
    </row>
    <row r="34" spans="1:12" x14ac:dyDescent="0.25">
      <c r="A34">
        <v>7</v>
      </c>
      <c r="B34">
        <v>435</v>
      </c>
      <c r="C34">
        <v>4</v>
      </c>
      <c r="D34">
        <v>1000000</v>
      </c>
      <c r="F34">
        <v>1000000</v>
      </c>
      <c r="H34">
        <v>1000000</v>
      </c>
      <c r="I34" t="s">
        <v>599</v>
      </c>
      <c r="J34">
        <v>1000000</v>
      </c>
      <c r="K34" t="s">
        <v>599</v>
      </c>
      <c r="L34" t="str">
        <f>VLOOKUP(B35,players!A:B,2)</f>
        <v>Bruce Thornton</v>
      </c>
    </row>
    <row r="35" spans="1:12" x14ac:dyDescent="0.25">
      <c r="A35">
        <v>7</v>
      </c>
      <c r="B35">
        <v>437</v>
      </c>
      <c r="C35">
        <v>5</v>
      </c>
      <c r="D35">
        <v>1000000</v>
      </c>
      <c r="F35">
        <v>1000000</v>
      </c>
      <c r="H35">
        <v>1000000</v>
      </c>
      <c r="I35" t="s">
        <v>599</v>
      </c>
      <c r="J35">
        <v>1000000</v>
      </c>
      <c r="K35" t="s">
        <v>599</v>
      </c>
      <c r="L35" t="str">
        <f>VLOOKUP(B36,players!A:B,2)</f>
        <v>Cameron Boozer</v>
      </c>
    </row>
    <row r="36" spans="1:12" x14ac:dyDescent="0.25">
      <c r="A36">
        <v>6</v>
      </c>
      <c r="B36">
        <v>419</v>
      </c>
      <c r="C36">
        <v>14</v>
      </c>
      <c r="D36">
        <v>7000000</v>
      </c>
      <c r="F36">
        <v>7500000</v>
      </c>
      <c r="H36">
        <v>8250000</v>
      </c>
      <c r="I36" t="s">
        <v>599</v>
      </c>
      <c r="J36">
        <v>9000000</v>
      </c>
      <c r="K36" t="s">
        <v>599</v>
      </c>
      <c r="L36" t="str">
        <f>VLOOKUP(B37,players!A:B,2)</f>
        <v>Christian Anderson Jr.</v>
      </c>
    </row>
    <row r="37" spans="1:12" x14ac:dyDescent="0.25">
      <c r="A37">
        <v>6</v>
      </c>
      <c r="B37">
        <v>444</v>
      </c>
      <c r="C37">
        <v>16</v>
      </c>
      <c r="D37">
        <v>1000000</v>
      </c>
      <c r="F37">
        <v>1000000</v>
      </c>
      <c r="H37">
        <v>1000000</v>
      </c>
      <c r="I37" t="s">
        <v>599</v>
      </c>
      <c r="J37">
        <v>1000000</v>
      </c>
      <c r="K37" t="s">
        <v>599</v>
      </c>
      <c r="L37" t="str">
        <f>VLOOKUP(B38,players!A:B,2)</f>
        <v>Morez Johnson Jr.</v>
      </c>
    </row>
    <row r="38" spans="1:12" x14ac:dyDescent="0.25">
      <c r="A38">
        <v>13</v>
      </c>
      <c r="B38">
        <v>426</v>
      </c>
      <c r="C38">
        <v>14</v>
      </c>
      <c r="D38">
        <v>3400000</v>
      </c>
      <c r="F38">
        <v>3600000</v>
      </c>
      <c r="H38">
        <v>3800000</v>
      </c>
      <c r="I38" t="s">
        <v>599</v>
      </c>
      <c r="J38">
        <v>4100000</v>
      </c>
      <c r="K38" t="s">
        <v>599</v>
      </c>
      <c r="L38" t="e">
        <f>VLOOKUP(B195,players!A:B,2)</f>
        <v>#N/A</v>
      </c>
    </row>
    <row r="39" spans="1:12" x14ac:dyDescent="0.25">
      <c r="A39">
        <v>13</v>
      </c>
      <c r="B39">
        <v>440</v>
      </c>
      <c r="C39">
        <v>14</v>
      </c>
      <c r="D39">
        <v>1000000</v>
      </c>
      <c r="F39">
        <v>1000000</v>
      </c>
      <c r="H39">
        <v>1000000</v>
      </c>
      <c r="I39" t="s">
        <v>599</v>
      </c>
      <c r="J39">
        <v>1000000</v>
      </c>
      <c r="K39" t="s">
        <v>599</v>
      </c>
      <c r="L39" t="e">
        <f>VLOOKUP(B181,players!A:B,2)</f>
        <v>#N/A</v>
      </c>
    </row>
    <row r="40" spans="1:12" x14ac:dyDescent="0.25">
      <c r="A40">
        <v>13</v>
      </c>
      <c r="B40">
        <v>430</v>
      </c>
      <c r="C40">
        <v>13</v>
      </c>
      <c r="D40">
        <v>2600000</v>
      </c>
      <c r="F40">
        <v>2800000</v>
      </c>
      <c r="H40">
        <v>3000000</v>
      </c>
      <c r="I40" t="s">
        <v>599</v>
      </c>
      <c r="J40">
        <v>3300000</v>
      </c>
      <c r="K40" t="s">
        <v>599</v>
      </c>
      <c r="L40" t="e">
        <f>VLOOKUP(B180,players!A:B,2)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</row>
    <row r="2" spans="1:5" x14ac:dyDescent="0.25">
      <c r="A2" t="s">
        <v>566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605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606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607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608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609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610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611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612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613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614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615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616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617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618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619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620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621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622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623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569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581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630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631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632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640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641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642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573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576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570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580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650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651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652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660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661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662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670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671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672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680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681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682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690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691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692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568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582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700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701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702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2026-07-31T21:03:09Z</dcterms:modified>
</cp:coreProperties>
</file>