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\OneDrive\Documentos\GitHub\Fantasy-unificado\"/>
    </mc:Choice>
  </mc:AlternateContent>
  <xr:revisionPtr revIDLastSave="0" documentId="13_ncr:1_{F6E3F245-36E9-44BF-A98B-03C55C786C87}" xr6:coauthVersionLast="47" xr6:coauthVersionMax="47" xr10:uidLastSave="{00000000-0000-0000-0000-000000000000}"/>
  <bookViews>
    <workbookView xWindow="-105" yWindow="0" windowWidth="14610" windowHeight="15585" activeTab="3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6" i="4" l="1"/>
  <c r="L105" i="4"/>
  <c r="L90" i="4"/>
  <c r="L91" i="4"/>
  <c r="L92" i="4"/>
  <c r="L77" i="4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2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8" i="4"/>
  <c r="L79" i="4"/>
  <c r="L80" i="4"/>
  <c r="L81" i="4"/>
  <c r="L82" i="4"/>
  <c r="L83" i="4"/>
  <c r="L84" i="4"/>
  <c r="L85" i="4"/>
  <c r="L86" i="4"/>
  <c r="L87" i="4"/>
  <c r="L88" i="4"/>
  <c r="L89" i="4"/>
  <c r="L93" i="4"/>
  <c r="L94" i="4"/>
  <c r="L95" i="4"/>
  <c r="L96" i="4"/>
  <c r="L97" i="4"/>
  <c r="L98" i="4"/>
  <c r="L99" i="4"/>
  <c r="L100" i="4"/>
  <c r="L101" i="4"/>
  <c r="L102" i="4"/>
  <c r="L103" i="4"/>
  <c r="L104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2" i="4"/>
</calcChain>
</file>

<file path=xl/sharedStrings.xml><?xml version="1.0" encoding="utf-8"?>
<sst xmlns="http://schemas.openxmlformats.org/spreadsheetml/2006/main" count="1097" uniqueCount="522">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</sst>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opLeftCell="A156" workbookViewId="0">
      <selection activeCell="B171" sqref="B171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workbookViewId="0">
      <selection activeCell="K70" sqref="K70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1"/>
  <sheetViews>
    <sheetView tabSelected="1" topLeftCell="A88" workbookViewId="0">
      <selection activeCell="D118" sqref="D118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4.425781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2</v>
      </c>
      <c r="B28">
        <v>320</v>
      </c>
      <c r="C28">
        <v>1</v>
      </c>
      <c r="D28" s="2">
        <v>1000000</v>
      </c>
      <c r="F28" s="2">
        <v>1000000</v>
      </c>
      <c r="G28" s="2" t="s">
        <v>472</v>
      </c>
      <c r="L28" t="str">
        <f>VLOOKUP(B28,players!A:B,2)</f>
        <v>Cam Spencer</v>
      </c>
    </row>
    <row r="29" spans="1:12" x14ac:dyDescent="0.25">
      <c r="A29">
        <v>2</v>
      </c>
      <c r="B29">
        <v>21</v>
      </c>
      <c r="C29">
        <v>2</v>
      </c>
      <c r="D29" s="2">
        <v>23500000</v>
      </c>
      <c r="F29" s="2">
        <v>23500000</v>
      </c>
      <c r="H29" s="2">
        <v>23500000</v>
      </c>
      <c r="L29" t="str">
        <f>VLOOKUP(B29,players!A:B,2)</f>
        <v>Alperen Şengün</v>
      </c>
    </row>
    <row r="30" spans="1:12" x14ac:dyDescent="0.25">
      <c r="A30">
        <v>2</v>
      </c>
      <c r="B30">
        <v>96</v>
      </c>
      <c r="C30">
        <v>3</v>
      </c>
      <c r="D30" s="2">
        <v>15000000</v>
      </c>
      <c r="L30" t="str">
        <f>VLOOKUP(B30,players!A:B,2)</f>
        <v>Kevin Durant</v>
      </c>
    </row>
    <row r="31" spans="1:12" x14ac:dyDescent="0.25">
      <c r="A31">
        <v>2</v>
      </c>
      <c r="B31">
        <v>136</v>
      </c>
      <c r="C31">
        <v>4</v>
      </c>
      <c r="D31" s="2">
        <v>9000000</v>
      </c>
      <c r="L31" t="str">
        <f>VLOOKUP(B31,players!A:B,2)</f>
        <v>Brandon Miller</v>
      </c>
    </row>
    <row r="32" spans="1:12" x14ac:dyDescent="0.25">
      <c r="A32">
        <v>2</v>
      </c>
      <c r="B32">
        <v>219</v>
      </c>
      <c r="C32">
        <v>5</v>
      </c>
      <c r="D32" s="2">
        <v>7000000</v>
      </c>
      <c r="F32" s="2">
        <v>7000000</v>
      </c>
      <c r="H32" s="2">
        <v>7000000</v>
      </c>
      <c r="L32" t="str">
        <f>VLOOKUP(B32,players!A:B,2)</f>
        <v>Jalen Green</v>
      </c>
    </row>
    <row r="33" spans="1:12" x14ac:dyDescent="0.25">
      <c r="A33">
        <v>2</v>
      </c>
      <c r="B33">
        <v>144</v>
      </c>
      <c r="C33">
        <v>6</v>
      </c>
      <c r="D33" s="2">
        <v>6000000</v>
      </c>
      <c r="F33" s="2">
        <v>6000000</v>
      </c>
      <c r="L33" t="str">
        <f>VLOOKUP(B33,players!A:B,2)</f>
        <v>Tyler Herro</v>
      </c>
    </row>
    <row r="34" spans="1:12" x14ac:dyDescent="0.25">
      <c r="A34">
        <v>2</v>
      </c>
      <c r="B34">
        <v>362</v>
      </c>
      <c r="C34">
        <v>7</v>
      </c>
      <c r="D34" s="2">
        <v>21500000</v>
      </c>
      <c r="F34" s="2">
        <v>21500000</v>
      </c>
      <c r="H34" s="2">
        <v>21500000</v>
      </c>
      <c r="L34" t="str">
        <f>VLOOKUP(B34,players!A:B,2)</f>
        <v>Trae Young</v>
      </c>
    </row>
    <row r="35" spans="1:12" x14ac:dyDescent="0.25">
      <c r="A35">
        <v>2</v>
      </c>
      <c r="B35">
        <v>103</v>
      </c>
      <c r="C35">
        <v>8</v>
      </c>
      <c r="L35" t="str">
        <f>VLOOKUP(B35,players!A:B,2)</f>
        <v>Russell Westbrook</v>
      </c>
    </row>
    <row r="36" spans="1:12" x14ac:dyDescent="0.25">
      <c r="A36">
        <v>2</v>
      </c>
      <c r="B36">
        <v>49</v>
      </c>
      <c r="C36">
        <v>9</v>
      </c>
      <c r="D36" s="2">
        <v>3200000</v>
      </c>
      <c r="F36" s="2">
        <v>3400000</v>
      </c>
      <c r="G36" s="2" t="s">
        <v>472</v>
      </c>
      <c r="H36" s="2">
        <v>3700000</v>
      </c>
      <c r="I36" s="2" t="s">
        <v>472</v>
      </c>
      <c r="L36" t="str">
        <f>VLOOKUP(B36,players!A:B,2)</f>
        <v>Derik Queen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8</v>
      </c>
      <c r="C38">
        <v>11</v>
      </c>
      <c r="D38" s="2">
        <v>6000000</v>
      </c>
      <c r="F38" s="2">
        <v>6500000</v>
      </c>
      <c r="G38" s="2" t="s">
        <v>472</v>
      </c>
      <c r="L38" t="str">
        <f>VLOOKUP(B38,players!A:B,2)</f>
        <v>Zach Edey</v>
      </c>
    </row>
    <row r="39" spans="1:12" x14ac:dyDescent="0.25">
      <c r="A39">
        <v>2</v>
      </c>
      <c r="B39">
        <v>290</v>
      </c>
      <c r="C39">
        <v>12</v>
      </c>
      <c r="D39" s="2">
        <v>1000000</v>
      </c>
      <c r="F39" s="2">
        <v>1000000</v>
      </c>
      <c r="G39" s="2" t="s">
        <v>472</v>
      </c>
      <c r="H39" s="2">
        <v>1000000</v>
      </c>
      <c r="L39" t="str">
        <f>VLOOKUP(B39,players!A:B,2)</f>
        <v>Will Riley</v>
      </c>
    </row>
    <row r="40" spans="1:12" x14ac:dyDescent="0.25">
      <c r="A40">
        <v>3</v>
      </c>
      <c r="B40">
        <v>184</v>
      </c>
      <c r="C40">
        <v>1</v>
      </c>
      <c r="D40" s="2">
        <v>8000000</v>
      </c>
      <c r="F40" s="2">
        <v>8000000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D43" s="2">
        <v>5000000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D47" s="2">
        <v>40000000</v>
      </c>
      <c r="F47" s="2">
        <v>40000000</v>
      </c>
      <c r="H47" s="2">
        <v>40000000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D48" s="2">
        <v>6000000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D49" s="2">
        <v>14000000</v>
      </c>
      <c r="F49" s="2">
        <v>14000000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D50" s="2">
        <v>6500000</v>
      </c>
      <c r="F50" s="2">
        <v>6500000</v>
      </c>
      <c r="H50" s="2">
        <v>6500000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D51" s="2">
        <v>5000000</v>
      </c>
      <c r="L51" t="str">
        <f>VLOOKUP(B51,players!A:B,2)</f>
        <v>Kyrie Irving</v>
      </c>
    </row>
    <row r="52" spans="1:12" x14ac:dyDescent="0.25">
      <c r="A52">
        <v>3</v>
      </c>
      <c r="B52">
        <v>295</v>
      </c>
      <c r="C52">
        <v>13</v>
      </c>
      <c r="D52" s="2">
        <v>8000000</v>
      </c>
      <c r="L52" t="str">
        <f>VLOOKUP(B52,players!A:B,2)</f>
        <v>Zach LaVine</v>
      </c>
    </row>
    <row r="53" spans="1:12" x14ac:dyDescent="0.25">
      <c r="A53">
        <v>4</v>
      </c>
      <c r="B53">
        <v>379</v>
      </c>
      <c r="C53">
        <v>1</v>
      </c>
      <c r="D53" s="2">
        <v>1000000</v>
      </c>
      <c r="F53" s="2">
        <v>1000000</v>
      </c>
      <c r="G53" s="2" t="s">
        <v>472</v>
      </c>
      <c r="H53" s="2">
        <v>1000000</v>
      </c>
      <c r="I53" s="2" t="s">
        <v>472</v>
      </c>
      <c r="L53" t="str">
        <f>VLOOKUP(B53,players!A:B,2)</f>
        <v>Nolan Traoré</v>
      </c>
    </row>
    <row r="54" spans="1:12" x14ac:dyDescent="0.25">
      <c r="A54">
        <v>4</v>
      </c>
      <c r="B54">
        <v>364</v>
      </c>
      <c r="C54">
        <v>2</v>
      </c>
      <c r="D54" s="2">
        <v>1000000</v>
      </c>
      <c r="F54" s="2">
        <v>1000000</v>
      </c>
      <c r="G54" s="2" t="s">
        <v>472</v>
      </c>
      <c r="L54" t="str">
        <f>VLOOKUP(B54,players!A:B,2)</f>
        <v>Jared McCain</v>
      </c>
    </row>
    <row r="55" spans="1:12" x14ac:dyDescent="0.25">
      <c r="A55">
        <v>4</v>
      </c>
      <c r="B55">
        <v>104</v>
      </c>
      <c r="C55">
        <v>3</v>
      </c>
      <c r="L55" t="str">
        <f>VLOOKUP(B55,players!A:B,2)</f>
        <v>Keldon Johnson</v>
      </c>
    </row>
    <row r="56" spans="1:12" x14ac:dyDescent="0.25">
      <c r="A56">
        <v>4</v>
      </c>
      <c r="B56">
        <v>62</v>
      </c>
      <c r="C56">
        <v>4</v>
      </c>
      <c r="D56" s="2">
        <v>2500000</v>
      </c>
      <c r="L56" t="str">
        <f>VLOOKUP(B56,players!A:B,2)</f>
        <v>Santi Aldama</v>
      </c>
    </row>
    <row r="57" spans="1:12" x14ac:dyDescent="0.25">
      <c r="A57">
        <v>4</v>
      </c>
      <c r="B57">
        <v>33</v>
      </c>
      <c r="C57">
        <v>5</v>
      </c>
      <c r="D57" s="2">
        <v>11000000</v>
      </c>
      <c r="L57" t="str">
        <f>VLOOKUP(B57,players!A:B,2)</f>
        <v>Deandre Ayton</v>
      </c>
    </row>
    <row r="58" spans="1:12" x14ac:dyDescent="0.25">
      <c r="A58">
        <v>4</v>
      </c>
      <c r="B58">
        <v>57</v>
      </c>
      <c r="C58">
        <v>6</v>
      </c>
      <c r="D58" s="2">
        <v>5000000</v>
      </c>
      <c r="F58" s="2">
        <v>5000000</v>
      </c>
      <c r="L58" t="str">
        <f>VLOOKUP(B58,players!A:B,2)</f>
        <v>Nic Claxton</v>
      </c>
    </row>
    <row r="59" spans="1:12" x14ac:dyDescent="0.25">
      <c r="A59">
        <v>4</v>
      </c>
      <c r="B59">
        <v>16</v>
      </c>
      <c r="C59">
        <v>7</v>
      </c>
      <c r="D59" s="2">
        <v>17000000</v>
      </c>
      <c r="F59" s="2">
        <v>17000000</v>
      </c>
      <c r="L59" t="str">
        <f>VLOOKUP(B59,players!A:B,2)</f>
        <v>Bam Adebayo</v>
      </c>
    </row>
    <row r="60" spans="1:12" x14ac:dyDescent="0.25">
      <c r="A60">
        <v>4</v>
      </c>
      <c r="B60">
        <v>53</v>
      </c>
      <c r="C60">
        <v>8</v>
      </c>
      <c r="D60" s="2">
        <v>22500000</v>
      </c>
      <c r="L60" t="str">
        <f>VLOOKUP(B60,players!A:B,2)</f>
        <v>Jaylen Brown</v>
      </c>
    </row>
    <row r="61" spans="1:12" x14ac:dyDescent="0.25">
      <c r="A61">
        <v>4</v>
      </c>
      <c r="B61">
        <v>110</v>
      </c>
      <c r="C61">
        <v>9</v>
      </c>
      <c r="D61" s="2">
        <v>5000000</v>
      </c>
      <c r="F61" s="2">
        <v>5500000</v>
      </c>
      <c r="G61" s="2" t="s">
        <v>472</v>
      </c>
      <c r="L61" t="str">
        <f>VLOOKUP(B61,players!A:B,2)</f>
        <v>Stephon Castle</v>
      </c>
    </row>
    <row r="62" spans="1:12" x14ac:dyDescent="0.25">
      <c r="A62">
        <v>4</v>
      </c>
      <c r="B62">
        <v>114</v>
      </c>
      <c r="C62">
        <v>10</v>
      </c>
      <c r="D62" s="2">
        <v>15000000</v>
      </c>
      <c r="F62" s="2">
        <v>15000000</v>
      </c>
      <c r="H62" s="2">
        <v>15000000</v>
      </c>
      <c r="L62" t="str">
        <f>VLOOKUP(B62,players!A:B,2)</f>
        <v>Franz Wagner</v>
      </c>
    </row>
    <row r="63" spans="1:12" x14ac:dyDescent="0.25">
      <c r="A63">
        <v>4</v>
      </c>
      <c r="B63">
        <v>157</v>
      </c>
      <c r="C63">
        <v>11</v>
      </c>
      <c r="D63" s="2">
        <v>19000000</v>
      </c>
      <c r="F63" s="2">
        <v>19000000</v>
      </c>
      <c r="H63" s="2">
        <v>19000000</v>
      </c>
      <c r="L63" t="str">
        <f>VLOOKUP(B63,players!A:B,2)</f>
        <v>Donovan Mitchell</v>
      </c>
    </row>
    <row r="64" spans="1:12" x14ac:dyDescent="0.25">
      <c r="A64">
        <v>4</v>
      </c>
      <c r="B64">
        <v>287</v>
      </c>
      <c r="C64">
        <v>12</v>
      </c>
      <c r="D64" s="2">
        <v>10000000</v>
      </c>
      <c r="L64" t="str">
        <f>VLOOKUP(B64,players!A:B,2)</f>
        <v>DeMar DeRozan</v>
      </c>
    </row>
    <row r="65" spans="1:12" x14ac:dyDescent="0.25">
      <c r="A65">
        <v>5</v>
      </c>
      <c r="B65">
        <v>305</v>
      </c>
      <c r="C65">
        <v>1</v>
      </c>
      <c r="L65" t="str">
        <f>VLOOKUP(B65,players!A:B,2)</f>
        <v>Dennis Schröder</v>
      </c>
    </row>
    <row r="66" spans="1:12" x14ac:dyDescent="0.25">
      <c r="A66">
        <v>5</v>
      </c>
      <c r="B66">
        <v>262</v>
      </c>
      <c r="C66">
        <v>2</v>
      </c>
      <c r="D66" s="2">
        <v>3600000</v>
      </c>
      <c r="F66" s="2">
        <v>3800000</v>
      </c>
      <c r="G66" s="2" t="s">
        <v>472</v>
      </c>
      <c r="H66" s="2">
        <v>4100000</v>
      </c>
      <c r="I66" s="2" t="s">
        <v>472</v>
      </c>
      <c r="L66" t="str">
        <f>VLOOKUP(B66,players!A:B,2)</f>
        <v>Egor Dёmin</v>
      </c>
    </row>
    <row r="67" spans="1:12" x14ac:dyDescent="0.25">
      <c r="A67">
        <v>5</v>
      </c>
      <c r="B67">
        <v>274</v>
      </c>
      <c r="C67">
        <v>3</v>
      </c>
      <c r="L67" t="str">
        <f>VLOOKUP(B67,players!A:B,2)</f>
        <v>Grayson Allen</v>
      </c>
    </row>
    <row r="68" spans="1:12" x14ac:dyDescent="0.25">
      <c r="A68">
        <v>5</v>
      </c>
      <c r="B68">
        <v>143</v>
      </c>
      <c r="C68">
        <v>4</v>
      </c>
      <c r="D68" s="2">
        <v>21000000</v>
      </c>
      <c r="F68" s="2">
        <v>21000000</v>
      </c>
      <c r="L68" t="str">
        <f>VLOOKUP(B68,players!A:B,2)</f>
        <v>James Harden</v>
      </c>
    </row>
    <row r="69" spans="1:12" x14ac:dyDescent="0.25">
      <c r="A69">
        <v>5</v>
      </c>
      <c r="B69">
        <v>131</v>
      </c>
      <c r="C69">
        <v>5</v>
      </c>
      <c r="L69" t="str">
        <f>VLOOKUP(B69,players!A:B,2)</f>
        <v>Isaiah Stewart</v>
      </c>
    </row>
    <row r="70" spans="1:12" x14ac:dyDescent="0.25">
      <c r="A70">
        <v>5</v>
      </c>
      <c r="B70">
        <v>133</v>
      </c>
      <c r="C70">
        <v>6</v>
      </c>
      <c r="D70" s="2">
        <v>2800000</v>
      </c>
      <c r="F70" s="2">
        <v>3000000</v>
      </c>
      <c r="G70" s="2" t="s">
        <v>472</v>
      </c>
      <c r="H70" s="2">
        <v>3300000</v>
      </c>
      <c r="I70" s="2" t="s">
        <v>472</v>
      </c>
      <c r="L70" t="str">
        <f>VLOOKUP(B70,players!A:B,2)</f>
        <v>Collin Murray-Boyles</v>
      </c>
    </row>
    <row r="71" spans="1:12" x14ac:dyDescent="0.25">
      <c r="A71">
        <v>5</v>
      </c>
      <c r="B71">
        <v>37</v>
      </c>
      <c r="C71">
        <v>7</v>
      </c>
      <c r="D71" s="2">
        <v>17000000</v>
      </c>
      <c r="F71" s="2">
        <v>17000000</v>
      </c>
      <c r="L71" t="str">
        <f>VLOOKUP(B71,players!A:B,2)</f>
        <v>Joel Embiid</v>
      </c>
    </row>
    <row r="72" spans="1:12" x14ac:dyDescent="0.25">
      <c r="A72">
        <v>5</v>
      </c>
      <c r="B72">
        <v>17</v>
      </c>
      <c r="C72">
        <v>8</v>
      </c>
      <c r="D72" s="2">
        <v>40000000</v>
      </c>
      <c r="F72" s="2">
        <v>40000000</v>
      </c>
      <c r="H72" s="2">
        <v>40000000</v>
      </c>
      <c r="L72" t="str">
        <f>VLOOKUP(B72,players!A:B,2)</f>
        <v>Giannis Antetokounmpo</v>
      </c>
    </row>
    <row r="73" spans="1:12" x14ac:dyDescent="0.25">
      <c r="A73">
        <v>5</v>
      </c>
      <c r="B73">
        <v>72</v>
      </c>
      <c r="C73">
        <v>9</v>
      </c>
      <c r="D73" s="2">
        <v>3100000</v>
      </c>
      <c r="F73" s="2">
        <v>3100000</v>
      </c>
      <c r="L73" t="str">
        <f>VLOOKUP(B73,players!A:B,2)</f>
        <v>Naz Reid</v>
      </c>
    </row>
    <row r="74" spans="1:12" x14ac:dyDescent="0.25">
      <c r="A74">
        <v>5</v>
      </c>
      <c r="B74">
        <v>227</v>
      </c>
      <c r="C74">
        <v>10</v>
      </c>
      <c r="L74" t="str">
        <f>VLOOKUP(B74,players!A:B,2)</f>
        <v>Jerami Grant</v>
      </c>
    </row>
    <row r="75" spans="1:12" x14ac:dyDescent="0.25">
      <c r="A75">
        <v>5</v>
      </c>
      <c r="B75">
        <v>48</v>
      </c>
      <c r="C75">
        <v>11</v>
      </c>
      <c r="L75" t="str">
        <f>VLOOKUP(B75,players!A:B,2)</f>
        <v>Michael Porter Jr.</v>
      </c>
    </row>
    <row r="76" spans="1:12" x14ac:dyDescent="0.25">
      <c r="A76">
        <v>5</v>
      </c>
      <c r="B76">
        <v>148</v>
      </c>
      <c r="C76">
        <v>12</v>
      </c>
      <c r="L76" t="str">
        <f>VLOOKUP(B76,players!A:B,2)</f>
        <v>Royce O'Neale</v>
      </c>
    </row>
    <row r="77" spans="1:12" x14ac:dyDescent="0.25">
      <c r="A77">
        <v>5</v>
      </c>
      <c r="B77">
        <v>152</v>
      </c>
      <c r="C77">
        <v>12</v>
      </c>
      <c r="L77" t="str">
        <f>VLOOKUP(B77,players!A:B,2)</f>
        <v>Ryan Rollins</v>
      </c>
    </row>
    <row r="78" spans="1:12" x14ac:dyDescent="0.25">
      <c r="A78">
        <v>6</v>
      </c>
      <c r="B78">
        <v>162</v>
      </c>
      <c r="C78">
        <v>1</v>
      </c>
      <c r="D78" s="2">
        <v>6000000</v>
      </c>
      <c r="F78" s="2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 s="2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 s="2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 s="2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 s="2">
        <v>35000000</v>
      </c>
      <c r="F87" s="2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 s="2">
        <v>3100000</v>
      </c>
      <c r="F88" s="2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 s="2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L90" t="str">
        <f>VLOOKUP(B90,players!A:B,2)</f>
        <v>Damian Lillard</v>
      </c>
    </row>
    <row r="91" spans="1:12" x14ac:dyDescent="0.25">
      <c r="A91">
        <v>6</v>
      </c>
      <c r="B91">
        <v>93</v>
      </c>
      <c r="C91">
        <v>14</v>
      </c>
      <c r="D91" s="2">
        <v>6000000</v>
      </c>
      <c r="F91" s="2">
        <v>6000000</v>
      </c>
      <c r="L91" t="str">
        <f>VLOOKUP(B91,players!A:B,2)</f>
        <v>Jonathan Kuminga</v>
      </c>
    </row>
    <row r="92" spans="1:12" x14ac:dyDescent="0.25">
      <c r="A92">
        <v>6</v>
      </c>
      <c r="B92">
        <v>71</v>
      </c>
      <c r="C92">
        <v>15</v>
      </c>
      <c r="L92" t="str">
        <f>VLOOKUP(B92,players!A:B,2)</f>
        <v>Tari Eason</v>
      </c>
    </row>
    <row r="93" spans="1:12" x14ac:dyDescent="0.25">
      <c r="A93">
        <v>8</v>
      </c>
      <c r="B93">
        <v>242</v>
      </c>
      <c r="C93">
        <v>1</v>
      </c>
      <c r="D93" s="2">
        <v>3800000</v>
      </c>
      <c r="F93" s="2">
        <v>4100000</v>
      </c>
      <c r="G93" s="2" t="s">
        <v>472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 s="2">
        <v>1000000</v>
      </c>
      <c r="F95" s="2">
        <v>1000000</v>
      </c>
      <c r="G95" s="2" t="s">
        <v>472</v>
      </c>
      <c r="H95" s="2">
        <v>1000000</v>
      </c>
      <c r="I95" s="2" t="s">
        <v>472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 s="2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 s="2">
        <v>6000000</v>
      </c>
      <c r="F97" s="2">
        <v>6000000</v>
      </c>
      <c r="H97" s="2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 s="2">
        <v>7000000</v>
      </c>
      <c r="F98" s="2">
        <v>7500000</v>
      </c>
      <c r="G98" s="2" t="s">
        <v>472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 s="2">
        <v>4000000</v>
      </c>
      <c r="F99" s="2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 s="2">
        <v>16000000</v>
      </c>
      <c r="F100" s="2">
        <v>16000000</v>
      </c>
      <c r="H100" s="2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 s="2">
        <v>9000000</v>
      </c>
      <c r="F101" s="2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 s="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 s="2">
        <v>19000000</v>
      </c>
      <c r="F103" s="2">
        <v>19000000</v>
      </c>
      <c r="H103" s="2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8</v>
      </c>
      <c r="B105">
        <v>59</v>
      </c>
      <c r="C105">
        <v>13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9</v>
      </c>
      <c r="B107">
        <v>384</v>
      </c>
      <c r="C107">
        <v>1</v>
      </c>
      <c r="D107" s="2">
        <v>3100000</v>
      </c>
      <c r="F107" s="2">
        <v>3100000</v>
      </c>
      <c r="H107" s="2">
        <v>3100000</v>
      </c>
      <c r="L107" t="str">
        <f>VLOOKUP(B107,players!A:B,2)</f>
        <v>Cam Thomas</v>
      </c>
    </row>
    <row r="108" spans="1:12" x14ac:dyDescent="0.25">
      <c r="A108">
        <v>9</v>
      </c>
      <c r="B108">
        <v>240</v>
      </c>
      <c r="C108">
        <v>2</v>
      </c>
      <c r="L108" t="str">
        <f>VLOOKUP(B108,players!A:B,2)</f>
        <v>Ayo Dosunmu</v>
      </c>
    </row>
    <row r="109" spans="1:12" x14ac:dyDescent="0.25">
      <c r="A109">
        <v>9</v>
      </c>
      <c r="B109">
        <v>186</v>
      </c>
      <c r="C109">
        <v>3</v>
      </c>
      <c r="D109" s="2">
        <v>4500000</v>
      </c>
      <c r="L109" t="str">
        <f>VLOOKUP(B109,players!A:B,2)</f>
        <v>Devin Vassell</v>
      </c>
    </row>
    <row r="110" spans="1:12" x14ac:dyDescent="0.25">
      <c r="A110">
        <v>9</v>
      </c>
      <c r="B110">
        <v>251</v>
      </c>
      <c r="C110">
        <v>4</v>
      </c>
      <c r="L110" t="str">
        <f>VLOOKUP(B110,players!A:B,2)</f>
        <v>Rui Hachimura</v>
      </c>
    </row>
    <row r="111" spans="1:12" x14ac:dyDescent="0.25">
      <c r="A111">
        <v>9</v>
      </c>
      <c r="B111">
        <v>416</v>
      </c>
      <c r="C111">
        <v>5</v>
      </c>
      <c r="L111" t="str">
        <f>VLOOKUP(B111,players!A:B,2)</f>
        <v>Clint Capela</v>
      </c>
    </row>
    <row r="112" spans="1:12" x14ac:dyDescent="0.25">
      <c r="A112">
        <v>9</v>
      </c>
      <c r="B112">
        <v>170</v>
      </c>
      <c r="C112">
        <v>6</v>
      </c>
      <c r="D112" s="2">
        <v>3100000</v>
      </c>
      <c r="F112" s="2">
        <v>3100000</v>
      </c>
      <c r="H112" s="2">
        <v>3100000</v>
      </c>
      <c r="L112" t="str">
        <f>VLOOKUP(B112,players!A:B,2)</f>
        <v>Jaden McDaniels</v>
      </c>
    </row>
    <row r="113" spans="1:12" x14ac:dyDescent="0.25">
      <c r="A113">
        <v>9</v>
      </c>
      <c r="B113">
        <v>15</v>
      </c>
      <c r="C113">
        <v>7</v>
      </c>
      <c r="D113" s="2">
        <v>32000000</v>
      </c>
      <c r="F113" s="2">
        <v>32000000</v>
      </c>
      <c r="H113" s="2">
        <v>32000000</v>
      </c>
      <c r="L113" t="str">
        <f>VLOOKUP(B113,players!A:B,2)</f>
        <v>Jayson Tatum</v>
      </c>
    </row>
    <row r="114" spans="1:12" x14ac:dyDescent="0.25">
      <c r="A114">
        <v>9</v>
      </c>
      <c r="B114">
        <v>26</v>
      </c>
      <c r="C114">
        <v>8</v>
      </c>
      <c r="D114" s="2">
        <v>12500000</v>
      </c>
      <c r="F114" s="2">
        <v>12500000</v>
      </c>
      <c r="H114" s="2">
        <v>12500000</v>
      </c>
      <c r="L114" t="str">
        <f>VLOOKUP(B114,players!A:B,2)</f>
        <v>Jarrett Allen</v>
      </c>
    </row>
    <row r="115" spans="1:12" x14ac:dyDescent="0.25">
      <c r="A115">
        <v>9</v>
      </c>
      <c r="B115">
        <v>89</v>
      </c>
      <c r="C115">
        <v>9</v>
      </c>
      <c r="D115" s="2">
        <v>11500000</v>
      </c>
      <c r="L115" t="str">
        <f>VLOOKUP(B115,players!A:B,2)</f>
        <v>Brandon Ingram</v>
      </c>
    </row>
    <row r="116" spans="1:12" x14ac:dyDescent="0.25">
      <c r="A116">
        <v>9</v>
      </c>
      <c r="B116">
        <v>167</v>
      </c>
      <c r="C116">
        <v>10</v>
      </c>
      <c r="D116" s="2">
        <v>3100000</v>
      </c>
      <c r="F116" s="2">
        <v>3100000</v>
      </c>
      <c r="H116" s="2">
        <v>3100000</v>
      </c>
      <c r="L116" t="str">
        <f>VLOOKUP(B116,players!A:B,2)</f>
        <v>Shaedon Sharpe</v>
      </c>
    </row>
    <row r="117" spans="1:12" x14ac:dyDescent="0.25">
      <c r="A117">
        <v>9</v>
      </c>
      <c r="B117">
        <v>217</v>
      </c>
      <c r="C117">
        <v>11</v>
      </c>
      <c r="D117" s="2">
        <v>25000000</v>
      </c>
      <c r="L117" t="str">
        <f>VLOOKUP(B117,players!A:B,2)</f>
        <v>Stephen Curry</v>
      </c>
    </row>
    <row r="118" spans="1:12" x14ac:dyDescent="0.25">
      <c r="A118">
        <v>9</v>
      </c>
      <c r="B118">
        <v>331</v>
      </c>
      <c r="C118">
        <v>12</v>
      </c>
      <c r="D118" s="2">
        <v>12000000</v>
      </c>
      <c r="F118" s="2">
        <v>12000000</v>
      </c>
      <c r="H118" s="2">
        <v>12000000</v>
      </c>
      <c r="L118" t="str">
        <f>VLOOKUP(B118,players!A:B,2)</f>
        <v>Darius Garland</v>
      </c>
    </row>
    <row r="119" spans="1:12" x14ac:dyDescent="0.25">
      <c r="A119">
        <v>10</v>
      </c>
      <c r="C119">
        <v>1</v>
      </c>
      <c r="L119" t="e">
        <f>VLOOKUP(B119,players!A:B,2)</f>
        <v>#N/A</v>
      </c>
    </row>
    <row r="120" spans="1:12" x14ac:dyDescent="0.25">
      <c r="A120">
        <v>10</v>
      </c>
      <c r="B120">
        <v>373</v>
      </c>
      <c r="C120">
        <v>2</v>
      </c>
      <c r="L120" t="str">
        <f>VLOOKUP(B120,players!A:B,2)</f>
        <v>Malik Monk</v>
      </c>
    </row>
    <row r="121" spans="1:12" x14ac:dyDescent="0.25">
      <c r="A121">
        <v>10</v>
      </c>
      <c r="B121">
        <v>249</v>
      </c>
      <c r="C121">
        <v>3</v>
      </c>
      <c r="L121" t="str">
        <f>VLOOKUP(B121,players!A:B,2)</f>
        <v>Ajay Mitchell</v>
      </c>
    </row>
    <row r="122" spans="1:12" x14ac:dyDescent="0.25">
      <c r="A122">
        <v>10</v>
      </c>
      <c r="B122">
        <v>169</v>
      </c>
      <c r="C122">
        <v>4</v>
      </c>
      <c r="L122" t="str">
        <f>VLOOKUP(B122,players!A:B,2)</f>
        <v>Bilal Coulibaly</v>
      </c>
    </row>
    <row r="123" spans="1:12" x14ac:dyDescent="0.25">
      <c r="A123">
        <v>10</v>
      </c>
      <c r="B123">
        <v>34</v>
      </c>
      <c r="C123">
        <v>5</v>
      </c>
      <c r="L123" t="str">
        <f>VLOOKUP(B123,players!A:B,2)</f>
        <v>Mark Williams</v>
      </c>
    </row>
    <row r="124" spans="1:12" x14ac:dyDescent="0.25">
      <c r="A124">
        <v>10</v>
      </c>
      <c r="B124">
        <v>168</v>
      </c>
      <c r="C124">
        <v>6</v>
      </c>
      <c r="L124" t="str">
        <f>VLOOKUP(B124,players!A:B,2)</f>
        <v>GG Jackson II</v>
      </c>
    </row>
    <row r="125" spans="1:12" x14ac:dyDescent="0.25">
      <c r="A125">
        <v>11</v>
      </c>
      <c r="B125">
        <v>327</v>
      </c>
      <c r="C125">
        <v>1</v>
      </c>
      <c r="L125" t="str">
        <f>VLOOKUP(B125,players!A:B,2)</f>
        <v>Cole Anthony</v>
      </c>
    </row>
    <row r="126" spans="1:12" x14ac:dyDescent="0.25">
      <c r="A126">
        <v>11</v>
      </c>
      <c r="B126">
        <v>213</v>
      </c>
      <c r="C126">
        <v>2</v>
      </c>
      <c r="L126" t="str">
        <f>VLOOKUP(B126,players!A:B,2)</f>
        <v>Khris Middleton</v>
      </c>
    </row>
    <row r="127" spans="1:12" x14ac:dyDescent="0.25">
      <c r="A127">
        <v>11</v>
      </c>
      <c r="B127">
        <v>111</v>
      </c>
      <c r="C127">
        <v>3</v>
      </c>
      <c r="L127" t="str">
        <f>VLOOKUP(B127,players!A:B,2)</f>
        <v>John Collins</v>
      </c>
    </row>
    <row r="128" spans="1:12" x14ac:dyDescent="0.25">
      <c r="A128">
        <v>11</v>
      </c>
      <c r="B128">
        <v>58</v>
      </c>
      <c r="C128">
        <v>4</v>
      </c>
      <c r="L128" t="str">
        <f>VLOOKUP(B128,players!A:B,2)</f>
        <v>Daniel Gafford</v>
      </c>
    </row>
    <row r="129" spans="1:12" x14ac:dyDescent="0.25">
      <c r="A129">
        <v>11</v>
      </c>
      <c r="B129">
        <v>18</v>
      </c>
      <c r="C129">
        <v>5</v>
      </c>
      <c r="L129" t="str">
        <f>VLOOKUP(B129,players!A:B,2)</f>
        <v>Isaiah Hartenstein</v>
      </c>
    </row>
    <row r="130" spans="1:12" x14ac:dyDescent="0.25">
      <c r="A130">
        <v>11</v>
      </c>
      <c r="B130">
        <v>63</v>
      </c>
      <c r="C130">
        <v>6</v>
      </c>
      <c r="L130" t="str">
        <f>VLOOKUP(B130,players!A:B,2)</f>
        <v>Jalen Smith</v>
      </c>
    </row>
    <row r="131" spans="1:12" x14ac:dyDescent="0.25">
      <c r="A131">
        <v>11</v>
      </c>
      <c r="B131">
        <v>6</v>
      </c>
      <c r="C131">
        <v>7</v>
      </c>
      <c r="L131" t="str">
        <f>VLOOKUP(B131,players!A:B,2)</f>
        <v>Domantas Sabonis</v>
      </c>
    </row>
    <row r="132" spans="1:12" x14ac:dyDescent="0.25">
      <c r="A132">
        <v>11</v>
      </c>
      <c r="B132">
        <v>177</v>
      </c>
      <c r="C132">
        <v>8</v>
      </c>
      <c r="L132" t="str">
        <f>VLOOKUP(B132,players!A:B,2)</f>
        <v>Desmond Bane</v>
      </c>
    </row>
    <row r="133" spans="1:12" x14ac:dyDescent="0.25">
      <c r="A133">
        <v>11</v>
      </c>
      <c r="B133">
        <v>35</v>
      </c>
      <c r="C133">
        <v>9</v>
      </c>
      <c r="L133" t="str">
        <f>VLOOKUP(B133,players!A:B,2)</f>
        <v>Amen Thompson</v>
      </c>
    </row>
    <row r="134" spans="1:12" x14ac:dyDescent="0.25">
      <c r="A134">
        <v>11</v>
      </c>
      <c r="B134">
        <v>166</v>
      </c>
      <c r="C134">
        <v>10</v>
      </c>
      <c r="L134" t="str">
        <f>VLOOKUP(B134,players!A:B,2)</f>
        <v>Shai Gilgeous-Alexander</v>
      </c>
    </row>
    <row r="135" spans="1:12" x14ac:dyDescent="0.25">
      <c r="A135">
        <v>11</v>
      </c>
      <c r="B135">
        <v>248</v>
      </c>
      <c r="C135">
        <v>11</v>
      </c>
      <c r="L135" t="str">
        <f>VLOOKUP(B135,players!A:B,2)</f>
        <v>CJ McCollum</v>
      </c>
    </row>
    <row r="136" spans="1:12" x14ac:dyDescent="0.25">
      <c r="A136">
        <v>11</v>
      </c>
      <c r="B136">
        <v>109</v>
      </c>
      <c r="C136">
        <v>12</v>
      </c>
      <c r="L136" t="str">
        <f>VLOOKUP(B136,players!A:B,2)</f>
        <v>Paul George</v>
      </c>
    </row>
    <row r="137" spans="1:12" x14ac:dyDescent="0.25">
      <c r="A137">
        <v>12</v>
      </c>
      <c r="B137">
        <v>279</v>
      </c>
      <c r="C137">
        <v>1</v>
      </c>
      <c r="L137" t="str">
        <f>VLOOKUP(B137,players!A:B,2)</f>
        <v>Cody Williams</v>
      </c>
    </row>
    <row r="138" spans="1:12" x14ac:dyDescent="0.25">
      <c r="A138">
        <v>12</v>
      </c>
      <c r="B138">
        <v>345</v>
      </c>
      <c r="C138">
        <v>2</v>
      </c>
      <c r="L138" t="str">
        <f>VLOOKUP(B138,players!A:B,2)</f>
        <v>Buddy Hield</v>
      </c>
    </row>
    <row r="139" spans="1:12" x14ac:dyDescent="0.25">
      <c r="A139">
        <v>12</v>
      </c>
      <c r="B139">
        <v>82</v>
      </c>
      <c r="C139">
        <v>3</v>
      </c>
      <c r="L139" t="str">
        <f>VLOOKUP(B139,players!A:B,2)</f>
        <v>Yves Missi</v>
      </c>
    </row>
    <row r="140" spans="1:12" x14ac:dyDescent="0.25">
      <c r="A140">
        <v>12</v>
      </c>
      <c r="B140">
        <v>120</v>
      </c>
      <c r="C140">
        <v>4</v>
      </c>
      <c r="L140" t="str">
        <f>VLOOKUP(B140,players!A:B,2)</f>
        <v>Brandin Podziemski</v>
      </c>
    </row>
    <row r="141" spans="1:12" x14ac:dyDescent="0.25">
      <c r="A141">
        <v>12</v>
      </c>
      <c r="B141">
        <v>135</v>
      </c>
      <c r="C141">
        <v>5</v>
      </c>
      <c r="L141" t="str">
        <f>VLOOKUP(B141,players!A:B,2)</f>
        <v>Goga Bitadze</v>
      </c>
    </row>
    <row r="142" spans="1:12" x14ac:dyDescent="0.25">
      <c r="A142">
        <v>12</v>
      </c>
      <c r="B142">
        <v>132</v>
      </c>
      <c r="C142">
        <v>6</v>
      </c>
      <c r="L142" t="str">
        <f>VLOOKUP(B142,players!A:B,2)</f>
        <v>Micah Potter</v>
      </c>
    </row>
    <row r="143" spans="1:12" x14ac:dyDescent="0.25">
      <c r="A143">
        <v>12</v>
      </c>
      <c r="B143">
        <v>22</v>
      </c>
      <c r="C143">
        <v>7</v>
      </c>
      <c r="L143" t="str">
        <f>VLOOKUP(B143,players!A:B,2)</f>
        <v>Chet Holmgren</v>
      </c>
    </row>
    <row r="144" spans="1:12" x14ac:dyDescent="0.25">
      <c r="A144">
        <v>12</v>
      </c>
      <c r="B144">
        <v>54</v>
      </c>
      <c r="C144">
        <v>8</v>
      </c>
      <c r="L144" t="str">
        <f>VLOOKUP(B144,players!A:B,2)</f>
        <v>Lauri Markkanen</v>
      </c>
    </row>
    <row r="145" spans="1:12" x14ac:dyDescent="0.25">
      <c r="A145">
        <v>12</v>
      </c>
      <c r="B145">
        <v>194</v>
      </c>
      <c r="C145">
        <v>9</v>
      </c>
      <c r="L145" t="str">
        <f>VLOOKUP(B145,players!A:B,2)</f>
        <v>Devin Booker</v>
      </c>
    </row>
    <row r="146" spans="1:12" x14ac:dyDescent="0.25">
      <c r="A146">
        <v>12</v>
      </c>
      <c r="B146">
        <v>226</v>
      </c>
      <c r="C146">
        <v>10</v>
      </c>
      <c r="L146" t="str">
        <f>VLOOKUP(B146,players!A:B,2)</f>
        <v>Tyrese Haliburton</v>
      </c>
    </row>
    <row r="147" spans="1:12" x14ac:dyDescent="0.25">
      <c r="A147">
        <v>12</v>
      </c>
      <c r="B147">
        <v>115</v>
      </c>
      <c r="C147">
        <v>11</v>
      </c>
      <c r="L147" t="str">
        <f>VLOOKUP(B147,players!A:B,2)</f>
        <v>Kevin Porter Jr.</v>
      </c>
    </row>
    <row r="148" spans="1:12" x14ac:dyDescent="0.25">
      <c r="A148">
        <v>13</v>
      </c>
      <c r="B148">
        <v>307</v>
      </c>
      <c r="C148">
        <v>1</v>
      </c>
      <c r="L148" t="str">
        <f>VLOOKUP(B148,players!A:B,2)</f>
        <v>Davion Mitchell</v>
      </c>
    </row>
    <row r="149" spans="1:12" x14ac:dyDescent="0.25">
      <c r="A149">
        <v>13</v>
      </c>
      <c r="B149">
        <v>363</v>
      </c>
      <c r="C149">
        <v>2</v>
      </c>
      <c r="L149" t="str">
        <f>VLOOKUP(B149,players!A:B,2)</f>
        <v>Jordan Poole</v>
      </c>
    </row>
    <row r="150" spans="1:12" x14ac:dyDescent="0.25">
      <c r="A150">
        <v>13</v>
      </c>
      <c r="B150">
        <v>296</v>
      </c>
      <c r="C150">
        <v>3</v>
      </c>
      <c r="L150" t="str">
        <f>VLOOKUP(B150,players!A:B,2)</f>
        <v>Andrew Nembhard</v>
      </c>
    </row>
    <row r="151" spans="1:12" x14ac:dyDescent="0.25">
      <c r="A151">
        <v>13</v>
      </c>
      <c r="B151">
        <v>171</v>
      </c>
      <c r="C151">
        <v>4</v>
      </c>
      <c r="L151" t="str">
        <f>VLOOKUP(B151,players!A:B,2)</f>
        <v>Aaron Nesmith</v>
      </c>
    </row>
    <row r="152" spans="1:12" x14ac:dyDescent="0.25">
      <c r="A152">
        <v>13</v>
      </c>
      <c r="B152">
        <v>10</v>
      </c>
      <c r="C152">
        <v>5</v>
      </c>
      <c r="L152" t="str">
        <f>VLOOKUP(B152,players!A:B,2)</f>
        <v>Ivica Zubac</v>
      </c>
    </row>
    <row r="153" spans="1:12" x14ac:dyDescent="0.25">
      <c r="A153">
        <v>13</v>
      </c>
      <c r="B153">
        <v>46</v>
      </c>
      <c r="C153">
        <v>6</v>
      </c>
      <c r="L153" t="str">
        <f>VLOOKUP(B153,players!A:B,2)</f>
        <v>Wendell Carter Jr.</v>
      </c>
    </row>
    <row r="154" spans="1:12" x14ac:dyDescent="0.25">
      <c r="A154">
        <v>13</v>
      </c>
      <c r="B154">
        <v>4</v>
      </c>
      <c r="C154">
        <v>7</v>
      </c>
      <c r="L154" t="str">
        <f>VLOOKUP(B154,players!A:B,2)</f>
        <v>Victor Wembanyama</v>
      </c>
    </row>
    <row r="155" spans="1:12" x14ac:dyDescent="0.25">
      <c r="A155">
        <v>13</v>
      </c>
      <c r="B155">
        <v>32</v>
      </c>
      <c r="C155">
        <v>8</v>
      </c>
      <c r="L155" t="str">
        <f>VLOOKUP(B155,players!A:B,2)</f>
        <v>Josh Giddey</v>
      </c>
    </row>
    <row r="156" spans="1:12" x14ac:dyDescent="0.25">
      <c r="A156">
        <v>13</v>
      </c>
      <c r="B156">
        <v>55</v>
      </c>
      <c r="C156">
        <v>9</v>
      </c>
      <c r="L156" t="str">
        <f>VLOOKUP(B156,players!A:B,2)</f>
        <v>Deni Avdija</v>
      </c>
    </row>
    <row r="157" spans="1:12" x14ac:dyDescent="0.25">
      <c r="A157">
        <v>13</v>
      </c>
      <c r="B157">
        <v>66</v>
      </c>
      <c r="C157">
        <v>10</v>
      </c>
      <c r="L157" t="str">
        <f>VLOOKUP(B157,players!A:B,2)</f>
        <v>Pascal Siakam</v>
      </c>
    </row>
    <row r="158" spans="1:12" x14ac:dyDescent="0.25">
      <c r="A158">
        <v>13</v>
      </c>
      <c r="B158">
        <v>94</v>
      </c>
      <c r="C158">
        <v>11</v>
      </c>
      <c r="L158" t="str">
        <f>VLOOKUP(B158,players!A:B,2)</f>
        <v>Zach Collins</v>
      </c>
    </row>
    <row r="159" spans="1:12" x14ac:dyDescent="0.25">
      <c r="A159">
        <v>13</v>
      </c>
      <c r="B159">
        <v>150</v>
      </c>
      <c r="C159">
        <v>12</v>
      </c>
      <c r="L159" t="str">
        <f>VLOOKUP(B159,players!A:B,2)</f>
        <v>Austin Reaves</v>
      </c>
    </row>
    <row r="160" spans="1:12" x14ac:dyDescent="0.25">
      <c r="A160">
        <v>14</v>
      </c>
      <c r="B160">
        <v>317</v>
      </c>
      <c r="C160">
        <v>1</v>
      </c>
      <c r="L160" t="str">
        <f>VLOOKUP(B160,players!A:B,2)</f>
        <v>Anfernee Simons</v>
      </c>
    </row>
    <row r="161" spans="1:12" x14ac:dyDescent="0.25">
      <c r="A161">
        <v>14</v>
      </c>
      <c r="B161">
        <v>241</v>
      </c>
      <c r="C161">
        <v>2</v>
      </c>
      <c r="L161" t="str">
        <f>VLOOKUP(B161,players!A:B,2)</f>
        <v>Dylan Harper</v>
      </c>
    </row>
    <row r="162" spans="1:12" x14ac:dyDescent="0.25">
      <c r="A162">
        <v>14</v>
      </c>
      <c r="B162">
        <v>129</v>
      </c>
      <c r="C162">
        <v>3</v>
      </c>
      <c r="L162" t="str">
        <f>VLOOKUP(B162,players!A:B,2)</f>
        <v>Jaime Jaquez Jr.</v>
      </c>
    </row>
    <row r="163" spans="1:12" x14ac:dyDescent="0.25">
      <c r="A163">
        <v>14</v>
      </c>
      <c r="B163">
        <v>93</v>
      </c>
      <c r="C163">
        <v>4</v>
      </c>
      <c r="L163" t="str">
        <f>VLOOKUP(B163,players!A:B,2)</f>
        <v>Jonathan Kuminga</v>
      </c>
    </row>
    <row r="164" spans="1:12" x14ac:dyDescent="0.25">
      <c r="A164">
        <v>14</v>
      </c>
      <c r="B164">
        <v>24</v>
      </c>
      <c r="C164">
        <v>5</v>
      </c>
      <c r="L164" t="str">
        <f>VLOOKUP(B164,players!A:B,2)</f>
        <v>Moussa Diabaté</v>
      </c>
    </row>
    <row r="165" spans="1:12" x14ac:dyDescent="0.25">
      <c r="A165">
        <v>14</v>
      </c>
      <c r="B165">
        <v>121</v>
      </c>
      <c r="C165">
        <v>6</v>
      </c>
      <c r="L165" t="str">
        <f>VLOOKUP(B165,players!A:B,2)</f>
        <v>Toumani Camara</v>
      </c>
    </row>
    <row r="166" spans="1:12" x14ac:dyDescent="0.25">
      <c r="A166">
        <v>14</v>
      </c>
      <c r="B166">
        <v>19</v>
      </c>
      <c r="C166">
        <v>7</v>
      </c>
      <c r="L166" t="str">
        <f>VLOOKUP(B166,players!A:B,2)</f>
        <v>Evan Mobley</v>
      </c>
    </row>
    <row r="167" spans="1:12" x14ac:dyDescent="0.25">
      <c r="A167">
        <v>14</v>
      </c>
      <c r="B167">
        <v>73</v>
      </c>
      <c r="C167">
        <v>8</v>
      </c>
      <c r="L167" t="str">
        <f>VLOOKUP(B167,players!A:B,2)</f>
        <v>LeBron James</v>
      </c>
    </row>
    <row r="168" spans="1:12" x14ac:dyDescent="0.25">
      <c r="A168">
        <v>14</v>
      </c>
      <c r="B168">
        <v>61</v>
      </c>
      <c r="C168">
        <v>9</v>
      </c>
      <c r="L168" t="str">
        <f>VLOOKUP(B168,players!A:B,2)</f>
        <v>Cooper Flagg</v>
      </c>
    </row>
    <row r="169" spans="1:12" x14ac:dyDescent="0.25">
      <c r="A169">
        <v>14</v>
      </c>
      <c r="B169">
        <v>2</v>
      </c>
      <c r="C169">
        <v>10</v>
      </c>
      <c r="L169" t="str">
        <f>VLOOKUP(B169,players!A:B,2)</f>
        <v>Karl-Anthony Towns</v>
      </c>
    </row>
    <row r="170" spans="1:12" x14ac:dyDescent="0.25">
      <c r="A170">
        <v>14</v>
      </c>
      <c r="B170">
        <v>220</v>
      </c>
      <c r="C170">
        <v>11</v>
      </c>
      <c r="L170" t="str">
        <f>VLOOKUP(B170,players!A:B,2)</f>
        <v>Quentin Grimes</v>
      </c>
    </row>
    <row r="171" spans="1:12" x14ac:dyDescent="0.25">
      <c r="A171">
        <v>14</v>
      </c>
      <c r="B171">
        <v>145</v>
      </c>
      <c r="C171">
        <v>12</v>
      </c>
      <c r="L171" t="str">
        <f>VLOOKUP(B171,players!A:B,2)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165"/>
  <sheetViews>
    <sheetView workbookViewId="0">
      <selection activeCell="B12" sqref="B12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8250000</v>
      </c>
      <c r="E6" s="2"/>
      <c r="F6" s="2">
        <v>4500000</v>
      </c>
      <c r="G6" s="2"/>
      <c r="H6" s="2">
        <v>5000000</v>
      </c>
      <c r="I6" s="2" t="s">
        <v>472</v>
      </c>
      <c r="J6" s="2">
        <v>5500000</v>
      </c>
      <c r="K6" s="2" t="s">
        <v>472</v>
      </c>
      <c r="L6" t="str">
        <f>VLOOKUP(B6,players!A:B,2)</f>
        <v>Jeremiah Fears</v>
      </c>
    </row>
    <row r="7" spans="1:12" x14ac:dyDescent="0.25">
      <c r="A7">
        <v>2</v>
      </c>
      <c r="B7">
        <v>375</v>
      </c>
      <c r="C7">
        <v>1</v>
      </c>
      <c r="D7" s="2">
        <v>3900000</v>
      </c>
      <c r="E7" s="2"/>
      <c r="F7" s="2"/>
      <c r="G7" s="2"/>
      <c r="H7" s="2"/>
      <c r="I7" s="2"/>
      <c r="J7" s="2"/>
      <c r="K7" s="2"/>
      <c r="L7" t="str">
        <f>VLOOKUP(B7,players!A:B,2)</f>
        <v>Gradey Dick</v>
      </c>
    </row>
    <row r="8" spans="1:12" x14ac:dyDescent="0.25">
      <c r="A8">
        <v>2</v>
      </c>
      <c r="B8">
        <v>365</v>
      </c>
      <c r="C8">
        <v>2</v>
      </c>
      <c r="D8" s="2">
        <v>1000000</v>
      </c>
      <c r="E8" s="2"/>
      <c r="F8" s="2">
        <v>1000000</v>
      </c>
      <c r="G8" s="2" t="s">
        <v>472</v>
      </c>
      <c r="H8" s="2">
        <v>1000000</v>
      </c>
      <c r="I8" s="2" t="s">
        <v>472</v>
      </c>
      <c r="J8" s="2"/>
      <c r="K8" s="2"/>
      <c r="L8" t="str">
        <f>VLOOKUP(B8,players!A:B,2)</f>
        <v>Walter Clayton</v>
      </c>
    </row>
    <row r="9" spans="1:12" x14ac:dyDescent="0.25">
      <c r="A9">
        <v>2</v>
      </c>
      <c r="B9">
        <v>407</v>
      </c>
      <c r="C9">
        <v>3</v>
      </c>
      <c r="D9" s="2">
        <v>1000000</v>
      </c>
      <c r="E9" s="2"/>
      <c r="F9" s="2">
        <v>1000000</v>
      </c>
      <c r="G9" s="2" t="s">
        <v>472</v>
      </c>
      <c r="H9" s="2"/>
      <c r="I9" s="2"/>
      <c r="J9" s="2"/>
      <c r="K9" s="2"/>
      <c r="L9" t="str">
        <f>VLOOKUP(B9,players!A:B,2)</f>
        <v>Johnny Furphy</v>
      </c>
    </row>
    <row r="10" spans="1:12" x14ac:dyDescent="0.25">
      <c r="A10">
        <v>3</v>
      </c>
      <c r="B10">
        <v>377</v>
      </c>
      <c r="C10">
        <v>1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 t="s">
        <v>472</v>
      </c>
      <c r="J10" s="2"/>
      <c r="K10" s="2"/>
      <c r="L10" t="str">
        <f>VLOOKUP(B10,players!A:B,2)</f>
        <v>Nikola Topić</v>
      </c>
    </row>
    <row r="11" spans="1:12" x14ac:dyDescent="0.25">
      <c r="A11">
        <v>3</v>
      </c>
      <c r="B11">
        <v>408</v>
      </c>
      <c r="C11">
        <v>2</v>
      </c>
      <c r="D11" s="2">
        <v>3400000</v>
      </c>
      <c r="E11" s="2"/>
      <c r="F11" s="2">
        <v>3700000</v>
      </c>
      <c r="G11" s="2" t="s">
        <v>472</v>
      </c>
      <c r="H11" s="2"/>
      <c r="I11" s="2"/>
      <c r="J11" s="2"/>
      <c r="K11" s="2"/>
      <c r="L11" t="str">
        <f>VLOOKUP(B11,players!A:B,2)</f>
        <v>Jase Richardson</v>
      </c>
    </row>
    <row r="12" spans="1:12" x14ac:dyDescent="0.25">
      <c r="A12">
        <v>5</v>
      </c>
      <c r="B12">
        <v>92</v>
      </c>
      <c r="C12">
        <v>1</v>
      </c>
      <c r="D12" s="2">
        <v>6500000</v>
      </c>
      <c r="E12" s="2"/>
      <c r="F12" s="2">
        <v>7000000</v>
      </c>
      <c r="G12" s="2" t="s">
        <v>472</v>
      </c>
      <c r="H12" s="2">
        <v>7500000</v>
      </c>
      <c r="I12" s="2" t="s">
        <v>472</v>
      </c>
      <c r="J12" s="2"/>
      <c r="K12" s="2"/>
      <c r="L12" t="str">
        <f>VLOOKUP(B12,players!A:B,2)</f>
        <v>VJ Edgecombe</v>
      </c>
    </row>
    <row r="13" spans="1:12" x14ac:dyDescent="0.25">
      <c r="A13">
        <v>5</v>
      </c>
      <c r="B13">
        <v>139</v>
      </c>
      <c r="C13">
        <v>2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Danny Wolf</v>
      </c>
    </row>
    <row r="14" spans="1:12" x14ac:dyDescent="0.25">
      <c r="A14">
        <v>5</v>
      </c>
      <c r="B14">
        <v>209</v>
      </c>
      <c r="C14">
        <v>3</v>
      </c>
      <c r="D14" s="2">
        <v>1000000</v>
      </c>
      <c r="E14" s="2"/>
      <c r="F14" s="2">
        <v>1000000</v>
      </c>
      <c r="G14" s="2" t="s">
        <v>472</v>
      </c>
      <c r="H14" s="2">
        <v>1000000</v>
      </c>
      <c r="I14" s="2" t="s">
        <v>472</v>
      </c>
      <c r="J14" s="2"/>
      <c r="K14" s="2"/>
      <c r="L14" t="str">
        <f>VLOOKUP(B14,players!A:B,2)</f>
        <v>Nique Clifford</v>
      </c>
    </row>
    <row r="15" spans="1:12" x14ac:dyDescent="0.25">
      <c r="A15">
        <v>5</v>
      </c>
      <c r="B15">
        <v>409</v>
      </c>
      <c r="C15">
        <v>4</v>
      </c>
      <c r="D15" s="2">
        <v>4000000</v>
      </c>
      <c r="E15" s="2"/>
      <c r="F15" s="2">
        <v>4200000</v>
      </c>
      <c r="G15" s="2" t="s">
        <v>472</v>
      </c>
      <c r="H15" s="2">
        <v>4500000</v>
      </c>
      <c r="I15" s="2" t="s">
        <v>472</v>
      </c>
      <c r="J15" s="2"/>
      <c r="K15" s="2"/>
      <c r="L15" t="str">
        <f>VLOOKUP(B15,players!A:B,2)</f>
        <v>Hansen Yang</v>
      </c>
    </row>
    <row r="16" spans="1:12" x14ac:dyDescent="0.25">
      <c r="A16">
        <v>6</v>
      </c>
      <c r="B16">
        <v>192</v>
      </c>
      <c r="C16">
        <v>1</v>
      </c>
      <c r="D16" s="2">
        <v>3200000</v>
      </c>
      <c r="E16" s="2"/>
      <c r="F16" s="2">
        <v>3500000</v>
      </c>
      <c r="G16" s="2" t="s">
        <v>472</v>
      </c>
      <c r="H16" s="2"/>
      <c r="I16" s="2"/>
      <c r="J16" s="2"/>
      <c r="K16" s="2"/>
      <c r="L16" t="str">
        <f>VLOOKUP(B16,players!A:B,2)</f>
        <v>Tidjane Salaün</v>
      </c>
    </row>
    <row r="17" spans="1:12" x14ac:dyDescent="0.25">
      <c r="A17">
        <v>8</v>
      </c>
      <c r="B17">
        <v>47</v>
      </c>
      <c r="C17">
        <v>1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t="str">
        <f>VLOOKUP(B17,players!A:B,2)</f>
        <v>Kyle Filipowski</v>
      </c>
    </row>
    <row r="18" spans="1:12" x14ac:dyDescent="0.25">
      <c r="A18">
        <v>9</v>
      </c>
      <c r="B18">
        <v>108</v>
      </c>
      <c r="C18">
        <v>1</v>
      </c>
      <c r="D18" s="2">
        <v>5000000</v>
      </c>
      <c r="E18" s="2"/>
      <c r="F18" s="2">
        <v>5500000</v>
      </c>
      <c r="G18" s="2" t="s">
        <v>472</v>
      </c>
      <c r="H18" s="2">
        <v>6000000</v>
      </c>
      <c r="I18" s="2" t="s">
        <v>472</v>
      </c>
      <c r="J18" s="2"/>
      <c r="K18" s="2"/>
      <c r="L18" t="str">
        <f>VLOOKUP(B18,players!A:B,2)</f>
        <v>Kon Knueppel</v>
      </c>
    </row>
    <row r="19" spans="1:12" x14ac:dyDescent="0.25">
      <c r="A19">
        <v>9</v>
      </c>
      <c r="B19">
        <v>123</v>
      </c>
      <c r="C19">
        <v>2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Jaylon Tyson</v>
      </c>
    </row>
    <row r="20" spans="1:12" x14ac:dyDescent="0.25">
      <c r="A20">
        <v>9</v>
      </c>
      <c r="B20">
        <v>410</v>
      </c>
      <c r="C20">
        <v>3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Joan Beringer</v>
      </c>
    </row>
    <row r="21" spans="1:12" x14ac:dyDescent="0.25">
      <c r="A21">
        <v>10</v>
      </c>
      <c r="B21">
        <v>297</v>
      </c>
      <c r="C21">
        <v>1</v>
      </c>
      <c r="D21" s="2">
        <v>5500000</v>
      </c>
      <c r="E21" s="2"/>
      <c r="F21" s="2">
        <v>6000000</v>
      </c>
      <c r="G21" s="2" t="s">
        <v>472</v>
      </c>
      <c r="H21" s="2">
        <v>6500000</v>
      </c>
      <c r="I21" s="2" t="s">
        <v>472</v>
      </c>
      <c r="J21" s="2"/>
      <c r="K21" s="2"/>
      <c r="L21" t="str">
        <f>VLOOKUP(B21,players!A:B,2)</f>
        <v>Tre Johnson</v>
      </c>
    </row>
    <row r="22" spans="1:12" x14ac:dyDescent="0.25">
      <c r="A22">
        <v>10</v>
      </c>
      <c r="B22">
        <v>313</v>
      </c>
      <c r="C22">
        <v>2</v>
      </c>
      <c r="D22" s="2">
        <v>1000000</v>
      </c>
      <c r="E22" s="2"/>
      <c r="F22" s="2">
        <v>1000000</v>
      </c>
      <c r="G22" s="2"/>
      <c r="H22" s="2"/>
      <c r="I22" s="2"/>
      <c r="J22" s="2"/>
      <c r="K22" s="2"/>
      <c r="L22" t="str">
        <f>VLOOKUP(B22,players!A:B,2)</f>
        <v>Ja'Kobe Walter</v>
      </c>
    </row>
    <row r="23" spans="1:12" x14ac:dyDescent="0.25">
      <c r="A23">
        <v>10</v>
      </c>
      <c r="B23">
        <v>300</v>
      </c>
      <c r="C23">
        <v>3</v>
      </c>
      <c r="D23" s="2">
        <v>6000000</v>
      </c>
      <c r="E23" s="2"/>
      <c r="F23" s="2"/>
      <c r="G23" s="2"/>
      <c r="H23" s="2"/>
      <c r="I23" s="2"/>
      <c r="J23" s="2"/>
      <c r="K23" s="2"/>
      <c r="L23" t="str">
        <f>VLOOKUP(B23,players!A:B,2)</f>
        <v>Cam Whitmore</v>
      </c>
    </row>
    <row r="24" spans="1:12" x14ac:dyDescent="0.25">
      <c r="A24">
        <v>10</v>
      </c>
      <c r="B24">
        <v>411</v>
      </c>
      <c r="C24">
        <v>4</v>
      </c>
      <c r="D24" s="2">
        <v>1000000</v>
      </c>
      <c r="E24" s="2"/>
      <c r="F24" s="2">
        <v>1000000</v>
      </c>
      <c r="G24" s="2" t="s">
        <v>472</v>
      </c>
      <c r="H24" s="2">
        <v>1000000</v>
      </c>
      <c r="I24" s="2" t="s">
        <v>472</v>
      </c>
      <c r="J24" s="2"/>
      <c r="K24" s="2"/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 s="2">
        <v>3200000</v>
      </c>
      <c r="E25" s="2"/>
      <c r="F25" s="2">
        <v>3500000</v>
      </c>
      <c r="G25" s="2" t="s">
        <v>472</v>
      </c>
      <c r="H25" s="2"/>
      <c r="I25" s="2"/>
      <c r="J25" s="2"/>
      <c r="K25" s="2"/>
      <c r="L25" t="str">
        <f>VLOOKUP(B25,players!A:B,2)</f>
        <v>Carter Bryant</v>
      </c>
    </row>
    <row r="26" spans="1:12" x14ac:dyDescent="0.25">
      <c r="A26">
        <v>11</v>
      </c>
      <c r="B26">
        <v>413</v>
      </c>
      <c r="C26">
        <v>2</v>
      </c>
      <c r="D26" s="2">
        <v>3300000</v>
      </c>
      <c r="E26" s="2"/>
      <c r="F26" s="2"/>
      <c r="G26" s="2"/>
      <c r="H26" s="2"/>
      <c r="I26" s="2"/>
      <c r="J26" s="2"/>
      <c r="K26" s="2"/>
      <c r="L26" t="str">
        <f>VLOOKUP(B26,players!A:B,2)</f>
        <v>Dalton Knecht</v>
      </c>
    </row>
    <row r="27" spans="1:12" x14ac:dyDescent="0.25">
      <c r="A27">
        <v>11</v>
      </c>
      <c r="B27">
        <v>189</v>
      </c>
      <c r="C27">
        <v>3</v>
      </c>
      <c r="D27" s="2">
        <v>6000000</v>
      </c>
      <c r="E27" s="2"/>
      <c r="F27" s="2"/>
      <c r="G27" s="2"/>
      <c r="H27" s="2"/>
      <c r="I27" s="2"/>
      <c r="J27" s="2"/>
      <c r="K27" s="2"/>
      <c r="L27" t="str">
        <f>VLOOKUP(B27,players!A:B,2)</f>
        <v>Ron Holland</v>
      </c>
    </row>
    <row r="28" spans="1:12" x14ac:dyDescent="0.25">
      <c r="A28">
        <v>13</v>
      </c>
      <c r="B28">
        <v>252</v>
      </c>
      <c r="C28">
        <v>1</v>
      </c>
      <c r="D28" s="2">
        <v>1000000</v>
      </c>
      <c r="E28" s="2"/>
      <c r="F28" s="2">
        <v>1000000</v>
      </c>
      <c r="G28" s="2" t="s">
        <v>472</v>
      </c>
      <c r="H28" s="2"/>
      <c r="I28" s="2"/>
      <c r="J28" s="2"/>
      <c r="K28" s="2"/>
      <c r="L28" t="str">
        <f>VLOOKUP(B28,players!A:B,2)</f>
        <v>Devin Carter</v>
      </c>
    </row>
    <row r="29" spans="1:12" x14ac:dyDescent="0.25">
      <c r="A29">
        <v>13</v>
      </c>
      <c r="B29">
        <v>414</v>
      </c>
      <c r="C29">
        <v>2</v>
      </c>
      <c r="D29" s="2">
        <v>3600000</v>
      </c>
      <c r="E29" s="2"/>
      <c r="F29" s="2">
        <v>3800000</v>
      </c>
      <c r="G29" s="2" t="s">
        <v>472</v>
      </c>
      <c r="H29" s="2">
        <v>4100000</v>
      </c>
      <c r="I29" s="2" t="s">
        <v>472</v>
      </c>
      <c r="J29" s="2"/>
      <c r="K29" s="2"/>
      <c r="L29" t="str">
        <f>VLOOKUP(B29,players!A:B,2)</f>
        <v>Kaman Maluach</v>
      </c>
    </row>
    <row r="30" spans="1:12" x14ac:dyDescent="0.25">
      <c r="A30">
        <v>13</v>
      </c>
      <c r="B30">
        <v>241</v>
      </c>
      <c r="C30">
        <v>3</v>
      </c>
      <c r="D30" s="2">
        <v>8500000</v>
      </c>
      <c r="E30" s="2"/>
      <c r="F30" s="2">
        <v>9250000</v>
      </c>
      <c r="G30" s="2" t="s">
        <v>472</v>
      </c>
      <c r="H30" s="2">
        <v>10000000</v>
      </c>
      <c r="I30" s="2" t="s">
        <v>472</v>
      </c>
      <c r="J30" s="2"/>
      <c r="K30" s="2"/>
      <c r="L30" t="str">
        <f>VLOOKUP(B30,players!A:B,2)</f>
        <v>Dylan Harper</v>
      </c>
    </row>
    <row r="31" spans="1:12" x14ac:dyDescent="0.25">
      <c r="A31">
        <v>14</v>
      </c>
      <c r="B31">
        <v>273</v>
      </c>
      <c r="C31">
        <v>1</v>
      </c>
      <c r="D31" s="2">
        <v>3200000</v>
      </c>
      <c r="E31" s="2"/>
      <c r="F31" s="2">
        <v>3500000</v>
      </c>
      <c r="G31" s="2"/>
      <c r="H31" s="2"/>
      <c r="I31" s="2"/>
      <c r="J31" s="2"/>
      <c r="K31" s="2"/>
      <c r="L31" t="str">
        <f>VLOOKUP(B31,players!A:B,2)</f>
        <v>Cason Wallace</v>
      </c>
    </row>
    <row r="32" spans="1:12" x14ac:dyDescent="0.25">
      <c r="A32">
        <v>14</v>
      </c>
      <c r="B32">
        <v>259</v>
      </c>
      <c r="C32">
        <v>2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3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  <row r="34" spans="1:12" x14ac:dyDescent="0.25">
      <c r="L34" t="e">
        <f>VLOOKUP(B34,players!A:B,2)</f>
        <v>#N/A</v>
      </c>
    </row>
    <row r="35" spans="1:12" x14ac:dyDescent="0.25">
      <c r="L35" t="e">
        <f>VLOOKUP(B35,players!A:B,2)</f>
        <v>#N/A</v>
      </c>
    </row>
    <row r="36" spans="1:12" x14ac:dyDescent="0.25">
      <c r="L36" t="e">
        <f>VLOOKUP(B36,players!A:B,2)</f>
        <v>#N/A</v>
      </c>
    </row>
    <row r="37" spans="1:12" x14ac:dyDescent="0.25">
      <c r="L37" t="e">
        <f>VLOOKUP(B37,players!A:B,2)</f>
        <v>#N/A</v>
      </c>
    </row>
    <row r="38" spans="1:12" x14ac:dyDescent="0.25">
      <c r="L38" t="e">
        <f>VLOOKUP(B38,players!A:B,2)</f>
        <v>#N/A</v>
      </c>
    </row>
    <row r="39" spans="1:12" x14ac:dyDescent="0.25">
      <c r="L39" t="e">
        <f>VLOOKUP(B39,players!A:B,2)</f>
        <v>#N/A</v>
      </c>
    </row>
    <row r="40" spans="1:12" x14ac:dyDescent="0.25">
      <c r="L40" t="e">
        <f>VLOOKUP(B40,players!A:B,2)</f>
        <v>#N/A</v>
      </c>
    </row>
    <row r="41" spans="1:12" x14ac:dyDescent="0.25">
      <c r="L41" t="e">
        <f>VLOOKUP(B41,players!A:B,2)</f>
        <v>#N/A</v>
      </c>
    </row>
    <row r="42" spans="1:12" x14ac:dyDescent="0.25">
      <c r="L42" t="e">
        <f>VLOOKUP(B42,players!A:B,2)</f>
        <v>#N/A</v>
      </c>
    </row>
    <row r="43" spans="1:12" x14ac:dyDescent="0.25">
      <c r="L43" t="e">
        <f>VLOOKUP(B43,players!A:B,2)</f>
        <v>#N/A</v>
      </c>
    </row>
    <row r="44" spans="1:12" x14ac:dyDescent="0.25">
      <c r="L44" t="e">
        <f>VLOOKUP(B44,players!A:B,2)</f>
        <v>#N/A</v>
      </c>
    </row>
    <row r="45" spans="1:12" x14ac:dyDescent="0.25">
      <c r="L45" t="e">
        <f>VLOOKUP(B45,players!A:B,2)</f>
        <v>#N/A</v>
      </c>
    </row>
    <row r="46" spans="1:12" x14ac:dyDescent="0.25">
      <c r="L46" t="e">
        <f>VLOOKUP(B46,players!A:B,2)</f>
        <v>#N/A</v>
      </c>
    </row>
    <row r="47" spans="1:12" x14ac:dyDescent="0.25">
      <c r="L47" t="e">
        <f>VLOOKUP(B47,players!A:B,2)</f>
        <v>#N/A</v>
      </c>
    </row>
    <row r="48" spans="1:12" x14ac:dyDescent="0.25">
      <c r="L48" t="e">
        <f>VLOOKUP(B48,players!A:B,2)</f>
        <v>#N/A</v>
      </c>
    </row>
    <row r="49" spans="12:12" x14ac:dyDescent="0.25">
      <c r="L49" t="e">
        <f>VLOOKUP(B49,players!A:B,2)</f>
        <v>#N/A</v>
      </c>
    </row>
    <row r="50" spans="12:12" x14ac:dyDescent="0.25">
      <c r="L50" t="e">
        <f>VLOOKUP(B50,players!A:B,2)</f>
        <v>#N/A</v>
      </c>
    </row>
    <row r="51" spans="12:12" x14ac:dyDescent="0.25">
      <c r="L51" t="e">
        <f>VLOOKUP(B51,players!A:B,2)</f>
        <v>#N/A</v>
      </c>
    </row>
    <row r="52" spans="12:12" x14ac:dyDescent="0.25">
      <c r="L52" t="e">
        <f>VLOOKUP(B52,players!A:B,2)</f>
        <v>#N/A</v>
      </c>
    </row>
    <row r="53" spans="12:12" x14ac:dyDescent="0.25">
      <c r="L53" t="e">
        <f>VLOOKUP(B53,players!A:B,2)</f>
        <v>#N/A</v>
      </c>
    </row>
    <row r="54" spans="12:12" x14ac:dyDescent="0.25">
      <c r="L54" t="e">
        <f>VLOOKUP(B54,players!A:B,2)</f>
        <v>#N/A</v>
      </c>
    </row>
    <row r="55" spans="12:12" x14ac:dyDescent="0.25">
      <c r="L55" t="e">
        <f>VLOOKUP(B55,players!A:B,2)</f>
        <v>#N/A</v>
      </c>
    </row>
    <row r="56" spans="12:12" x14ac:dyDescent="0.25">
      <c r="L56" t="e">
        <f>VLOOKUP(B56,players!A:B,2)</f>
        <v>#N/A</v>
      </c>
    </row>
    <row r="57" spans="12:12" x14ac:dyDescent="0.25">
      <c r="L57" t="e">
        <f>VLOOKUP(B57,players!A:B,2)</f>
        <v>#N/A</v>
      </c>
    </row>
    <row r="58" spans="12:12" x14ac:dyDescent="0.25">
      <c r="L58" t="e">
        <f>VLOOKUP(B58,players!A:B,2)</f>
        <v>#N/A</v>
      </c>
    </row>
    <row r="59" spans="12:12" x14ac:dyDescent="0.25">
      <c r="L59" t="e">
        <f>VLOOKUP(B59,players!A:B,2)</f>
        <v>#N/A</v>
      </c>
    </row>
    <row r="60" spans="12:12" x14ac:dyDescent="0.25">
      <c r="L60" t="e">
        <f>VLOOKUP(B60,players!A:B,2)</f>
        <v>#N/A</v>
      </c>
    </row>
    <row r="61" spans="12:12" x14ac:dyDescent="0.25">
      <c r="L61" t="e">
        <f>VLOOKUP(B61,players!A:B,2)</f>
        <v>#N/A</v>
      </c>
    </row>
    <row r="62" spans="12:12" x14ac:dyDescent="0.25">
      <c r="L62" t="e">
        <f>VLOOKUP(B62,players!A:B,2)</f>
        <v>#N/A</v>
      </c>
    </row>
    <row r="63" spans="12:12" x14ac:dyDescent="0.25">
      <c r="L63" t="e">
        <f>VLOOKUP(B63,players!A:B,2)</f>
        <v>#N/A</v>
      </c>
    </row>
    <row r="64" spans="12:12" x14ac:dyDescent="0.25">
      <c r="L64" t="e">
        <f>VLOOKUP(B64,players!A:B,2)</f>
        <v>#N/A</v>
      </c>
    </row>
    <row r="65" spans="12:12" x14ac:dyDescent="0.25">
      <c r="L65" t="e">
        <f>VLOOKUP(B65,players!A:B,2)</f>
        <v>#N/A</v>
      </c>
    </row>
    <row r="66" spans="12:12" x14ac:dyDescent="0.25">
      <c r="L66" t="e">
        <f>VLOOKUP(B66,players!A:B,2)</f>
        <v>#N/A</v>
      </c>
    </row>
    <row r="67" spans="12:12" x14ac:dyDescent="0.25">
      <c r="L67" t="e">
        <f>VLOOKUP(B67,players!A:B,2)</f>
        <v>#N/A</v>
      </c>
    </row>
    <row r="68" spans="12:12" x14ac:dyDescent="0.25">
      <c r="L68" t="e">
        <f>VLOOKUP(B68,players!A:B,2)</f>
        <v>#N/A</v>
      </c>
    </row>
    <row r="69" spans="12:12" x14ac:dyDescent="0.25">
      <c r="L69" t="e">
        <f>VLOOKUP(B69,players!A:B,2)</f>
        <v>#N/A</v>
      </c>
    </row>
    <row r="70" spans="12:12" x14ac:dyDescent="0.25">
      <c r="L70" t="e">
        <f>VLOOKUP(B70,players!A:B,2)</f>
        <v>#N/A</v>
      </c>
    </row>
    <row r="71" spans="12:12" x14ac:dyDescent="0.25">
      <c r="L71" t="e">
        <f>VLOOKUP(B71,players!A:B,2)</f>
        <v>#N/A</v>
      </c>
    </row>
    <row r="72" spans="12:12" x14ac:dyDescent="0.25">
      <c r="L72" t="e">
        <f>VLOOKUP(B72,players!A:B,2)</f>
        <v>#N/A</v>
      </c>
    </row>
    <row r="73" spans="12:12" x14ac:dyDescent="0.25">
      <c r="L73" t="e">
        <f>VLOOKUP(B73,players!A:B,2)</f>
        <v>#N/A</v>
      </c>
    </row>
    <row r="74" spans="12:12" x14ac:dyDescent="0.25">
      <c r="L74" t="e">
        <f>VLOOKUP(B74,players!A:B,2)</f>
        <v>#N/A</v>
      </c>
    </row>
    <row r="75" spans="12:12" x14ac:dyDescent="0.25">
      <c r="L75" t="e">
        <f>VLOOKUP(B75,players!A:B,2)</f>
        <v>#N/A</v>
      </c>
    </row>
    <row r="76" spans="12:12" x14ac:dyDescent="0.25">
      <c r="L76" t="e">
        <f>VLOOKUP(B76,players!A:B,2)</f>
        <v>#N/A</v>
      </c>
    </row>
    <row r="77" spans="12:12" x14ac:dyDescent="0.25">
      <c r="L77" t="e">
        <f>VLOOKUP(B77,players!A:B,2)</f>
        <v>#N/A</v>
      </c>
    </row>
    <row r="78" spans="12:12" x14ac:dyDescent="0.25">
      <c r="L78" t="e">
        <f>VLOOKUP(B78,players!A:B,2)</f>
        <v>#N/A</v>
      </c>
    </row>
    <row r="79" spans="12:12" x14ac:dyDescent="0.25">
      <c r="L79" t="e">
        <f>VLOOKUP(B79,players!A:B,2)</f>
        <v>#N/A</v>
      </c>
    </row>
    <row r="80" spans="12:12" x14ac:dyDescent="0.25">
      <c r="L80" t="e">
        <f>VLOOKUP(B80,players!A:B,2)</f>
        <v>#N/A</v>
      </c>
    </row>
    <row r="81" spans="12:12" x14ac:dyDescent="0.25">
      <c r="L81" t="e">
        <f>VLOOKUP(B81,players!A:B,2)</f>
        <v>#N/A</v>
      </c>
    </row>
    <row r="82" spans="12:12" x14ac:dyDescent="0.25">
      <c r="L82" t="e">
        <f>VLOOKUP(B82,players!A:B,2)</f>
        <v>#N/A</v>
      </c>
    </row>
    <row r="83" spans="12:12" x14ac:dyDescent="0.25">
      <c r="L83" t="e">
        <f>VLOOKUP(B83,players!A:B,2)</f>
        <v>#N/A</v>
      </c>
    </row>
    <row r="84" spans="12:12" x14ac:dyDescent="0.25">
      <c r="L84" t="e">
        <f>VLOOKUP(B84,players!A:B,2)</f>
        <v>#N/A</v>
      </c>
    </row>
    <row r="85" spans="12:12" x14ac:dyDescent="0.25">
      <c r="L85" t="e">
        <f>VLOOKUP(B85,players!A:B,2)</f>
        <v>#N/A</v>
      </c>
    </row>
    <row r="86" spans="12:12" x14ac:dyDescent="0.25">
      <c r="L86" t="e">
        <f>VLOOKUP(B86,players!A:B,2)</f>
        <v>#N/A</v>
      </c>
    </row>
    <row r="87" spans="12:12" x14ac:dyDescent="0.25">
      <c r="L87" t="e">
        <f>VLOOKUP(B87,players!A:B,2)</f>
        <v>#N/A</v>
      </c>
    </row>
    <row r="88" spans="12:12" x14ac:dyDescent="0.25">
      <c r="L88" t="e">
        <f>VLOOKUP(B88,players!A:B,2)</f>
        <v>#N/A</v>
      </c>
    </row>
    <row r="89" spans="12:12" x14ac:dyDescent="0.25">
      <c r="L89" t="e">
        <f>VLOOKUP(B89,players!A:B,2)</f>
        <v>#N/A</v>
      </c>
    </row>
    <row r="90" spans="12:12" x14ac:dyDescent="0.25">
      <c r="L90" t="e">
        <f>VLOOKUP(B90,players!A:B,2)</f>
        <v>#N/A</v>
      </c>
    </row>
    <row r="91" spans="12:12" x14ac:dyDescent="0.25">
      <c r="L91" t="e">
        <f>VLOOKUP(B91,players!A:B,2)</f>
        <v>#N/A</v>
      </c>
    </row>
    <row r="92" spans="12:12" x14ac:dyDescent="0.25">
      <c r="L92" t="e">
        <f>VLOOKUP(B92,players!A:B,2)</f>
        <v>#N/A</v>
      </c>
    </row>
    <row r="93" spans="12:12" x14ac:dyDescent="0.25">
      <c r="L93" t="e">
        <f>VLOOKUP(B93,players!A:B,2)</f>
        <v>#N/A</v>
      </c>
    </row>
    <row r="94" spans="12:12" x14ac:dyDescent="0.25">
      <c r="L94" t="e">
        <f>VLOOKUP(B94,players!A:B,2)</f>
        <v>#N/A</v>
      </c>
    </row>
    <row r="95" spans="12:12" x14ac:dyDescent="0.25">
      <c r="L95" t="e">
        <f>VLOOKUP(B95,players!A:B,2)</f>
        <v>#N/A</v>
      </c>
    </row>
    <row r="96" spans="12:12" x14ac:dyDescent="0.25">
      <c r="L96" t="e">
        <f>VLOOKUP(B96,players!A:B,2)</f>
        <v>#N/A</v>
      </c>
    </row>
    <row r="97" spans="12:12" x14ac:dyDescent="0.25">
      <c r="L97" t="e">
        <f>VLOOKUP(B97,players!A:B,2)</f>
        <v>#N/A</v>
      </c>
    </row>
    <row r="98" spans="12:12" x14ac:dyDescent="0.25">
      <c r="L98" t="e">
        <f>VLOOKUP(B98,players!A:B,2)</f>
        <v>#N/A</v>
      </c>
    </row>
    <row r="99" spans="12:12" x14ac:dyDescent="0.25">
      <c r="L99" t="e">
        <f>VLOOKUP(B99,players!A:B,2)</f>
        <v>#N/A</v>
      </c>
    </row>
    <row r="100" spans="12:12" x14ac:dyDescent="0.25">
      <c r="L100" t="e">
        <f>VLOOKUP(B100,players!A:B,2)</f>
        <v>#N/A</v>
      </c>
    </row>
    <row r="101" spans="12:12" x14ac:dyDescent="0.25">
      <c r="L101" t="e">
        <f>VLOOKUP(B101,players!A:B,2)</f>
        <v>#N/A</v>
      </c>
    </row>
    <row r="102" spans="12:12" x14ac:dyDescent="0.25">
      <c r="L102" t="e">
        <f>VLOOKUP(B102,players!A:B,2)</f>
        <v>#N/A</v>
      </c>
    </row>
    <row r="103" spans="12:12" x14ac:dyDescent="0.25">
      <c r="L103" t="e">
        <f>VLOOKUP(B103,players!A:B,2)</f>
        <v>#N/A</v>
      </c>
    </row>
    <row r="104" spans="12:12" x14ac:dyDescent="0.25">
      <c r="L104" t="e">
        <f>VLOOKUP(B104,players!A:B,2)</f>
        <v>#N/A</v>
      </c>
    </row>
    <row r="105" spans="12:12" x14ac:dyDescent="0.25">
      <c r="L105" t="e">
        <f>VLOOKUP(B105,players!A:B,2)</f>
        <v>#N/A</v>
      </c>
    </row>
    <row r="106" spans="12:12" x14ac:dyDescent="0.25">
      <c r="L106" t="e">
        <f>VLOOKUP(B106,players!A:B,2)</f>
        <v>#N/A</v>
      </c>
    </row>
    <row r="107" spans="12:12" x14ac:dyDescent="0.25">
      <c r="L107" t="e">
        <f>VLOOKUP(B107,players!A:B,2)</f>
        <v>#N/A</v>
      </c>
    </row>
    <row r="108" spans="12:12" x14ac:dyDescent="0.25">
      <c r="L108" t="e">
        <f>VLOOKUP(B108,players!A:B,2)</f>
        <v>#N/A</v>
      </c>
    </row>
    <row r="109" spans="12:12" x14ac:dyDescent="0.25">
      <c r="L109" t="e">
        <f>VLOOKUP(B109,players!A:B,2)</f>
        <v>#N/A</v>
      </c>
    </row>
    <row r="110" spans="12:12" x14ac:dyDescent="0.25">
      <c r="L110" t="e">
        <f>VLOOKUP(B110,players!A:B,2)</f>
        <v>#N/A</v>
      </c>
    </row>
    <row r="111" spans="12:12" x14ac:dyDescent="0.25">
      <c r="L111" t="e">
        <f>VLOOKUP(B111,players!A:B,2)</f>
        <v>#N/A</v>
      </c>
    </row>
    <row r="112" spans="12:12" x14ac:dyDescent="0.25">
      <c r="L112" t="e">
        <f>VLOOKUP(B112,players!A:B,2)</f>
        <v>#N/A</v>
      </c>
    </row>
    <row r="113" spans="12:12" x14ac:dyDescent="0.25">
      <c r="L113" t="e">
        <f>VLOOKUP(B113,players!A:B,2)</f>
        <v>#N/A</v>
      </c>
    </row>
    <row r="114" spans="12:12" x14ac:dyDescent="0.25">
      <c r="L114" t="e">
        <f>VLOOKUP(B114,players!A:B,2)</f>
        <v>#N/A</v>
      </c>
    </row>
    <row r="115" spans="12:12" x14ac:dyDescent="0.25">
      <c r="L115" t="e">
        <f>VLOOKUP(B115,players!A:B,2)</f>
        <v>#N/A</v>
      </c>
    </row>
    <row r="116" spans="12:12" x14ac:dyDescent="0.25">
      <c r="L116" t="e">
        <f>VLOOKUP(B116,players!A:B,2)</f>
        <v>#N/A</v>
      </c>
    </row>
    <row r="117" spans="12:12" x14ac:dyDescent="0.25">
      <c r="L117" t="e">
        <f>VLOOKUP(B117,players!A:B,2)</f>
        <v>#N/A</v>
      </c>
    </row>
    <row r="118" spans="12:12" x14ac:dyDescent="0.25">
      <c r="L118" t="e">
        <f>VLOOKUP(B118,players!A:B,2)</f>
        <v>#N/A</v>
      </c>
    </row>
    <row r="119" spans="12:12" x14ac:dyDescent="0.25">
      <c r="L119" t="e">
        <f>VLOOKUP(B119,players!A:B,2)</f>
        <v>#N/A</v>
      </c>
    </row>
    <row r="120" spans="12:12" x14ac:dyDescent="0.25">
      <c r="L120" t="e">
        <f>VLOOKUP(B120,players!A:B,2)</f>
        <v>#N/A</v>
      </c>
    </row>
    <row r="121" spans="12:12" x14ac:dyDescent="0.25">
      <c r="L121" t="e">
        <f>VLOOKUP(B121,players!A:B,2)</f>
        <v>#N/A</v>
      </c>
    </row>
    <row r="122" spans="12:12" x14ac:dyDescent="0.25">
      <c r="L122" t="e">
        <f>VLOOKUP(B122,players!A:B,2)</f>
        <v>#N/A</v>
      </c>
    </row>
    <row r="123" spans="12:12" x14ac:dyDescent="0.25">
      <c r="L123" t="e">
        <f>VLOOKUP(B123,players!A:B,2)</f>
        <v>#N/A</v>
      </c>
    </row>
    <row r="124" spans="12:12" x14ac:dyDescent="0.25">
      <c r="L124" t="e">
        <f>VLOOKUP(B124,players!A:B,2)</f>
        <v>#N/A</v>
      </c>
    </row>
    <row r="125" spans="12:12" x14ac:dyDescent="0.25">
      <c r="L125" t="e">
        <f>VLOOKUP(B125,players!A:B,2)</f>
        <v>#N/A</v>
      </c>
    </row>
    <row r="126" spans="12:12" x14ac:dyDescent="0.25">
      <c r="L126" t="e">
        <f>VLOOKUP(B126,players!A:B,2)</f>
        <v>#N/A</v>
      </c>
    </row>
    <row r="127" spans="12:12" x14ac:dyDescent="0.25">
      <c r="L127" t="e">
        <f>VLOOKUP(B127,players!A:B,2)</f>
        <v>#N/A</v>
      </c>
    </row>
    <row r="128" spans="12:12" x14ac:dyDescent="0.25">
      <c r="L128" t="e">
        <f>VLOOKUP(B128,players!A:B,2)</f>
        <v>#N/A</v>
      </c>
    </row>
    <row r="129" spans="12:12" x14ac:dyDescent="0.25">
      <c r="L129" t="e">
        <f>VLOOKUP(B129,players!A:B,2)</f>
        <v>#N/A</v>
      </c>
    </row>
    <row r="130" spans="12:12" x14ac:dyDescent="0.25">
      <c r="L130" t="e">
        <f>VLOOKUP(B130,players!A:B,2)</f>
        <v>#N/A</v>
      </c>
    </row>
    <row r="131" spans="12:12" x14ac:dyDescent="0.25">
      <c r="L131" t="e">
        <f>VLOOKUP(B131,players!A:B,2)</f>
        <v>#N/A</v>
      </c>
    </row>
    <row r="132" spans="12:12" x14ac:dyDescent="0.25">
      <c r="L132" t="e">
        <f>VLOOKUP(B132,players!A:B,2)</f>
        <v>#N/A</v>
      </c>
    </row>
    <row r="133" spans="12:12" x14ac:dyDescent="0.25">
      <c r="L133" t="e">
        <f>VLOOKUP(B133,players!A:B,2)</f>
        <v>#N/A</v>
      </c>
    </row>
    <row r="134" spans="12:12" x14ac:dyDescent="0.25">
      <c r="L134" t="e">
        <f>VLOOKUP(B134,players!A:B,2)</f>
        <v>#N/A</v>
      </c>
    </row>
    <row r="135" spans="12:12" x14ac:dyDescent="0.25">
      <c r="L135" t="e">
        <f>VLOOKUP(B135,players!A:B,2)</f>
        <v>#N/A</v>
      </c>
    </row>
    <row r="136" spans="12:12" x14ac:dyDescent="0.25">
      <c r="L136" t="e">
        <f>VLOOKUP(B136,players!A:B,2)</f>
        <v>#N/A</v>
      </c>
    </row>
    <row r="137" spans="12:12" x14ac:dyDescent="0.25">
      <c r="L137" t="e">
        <f>VLOOKUP(B137,players!A:B,2)</f>
        <v>#N/A</v>
      </c>
    </row>
    <row r="138" spans="12:12" x14ac:dyDescent="0.25">
      <c r="L138" t="e">
        <f>VLOOKUP(B138,players!A:B,2)</f>
        <v>#N/A</v>
      </c>
    </row>
    <row r="139" spans="12:12" x14ac:dyDescent="0.25">
      <c r="L139" t="e">
        <f>VLOOKUP(B139,players!A:B,2)</f>
        <v>#N/A</v>
      </c>
    </row>
    <row r="140" spans="12:12" x14ac:dyDescent="0.25">
      <c r="L140" t="e">
        <f>VLOOKUP(B140,players!A:B,2)</f>
        <v>#N/A</v>
      </c>
    </row>
    <row r="141" spans="12:12" x14ac:dyDescent="0.25">
      <c r="L141" t="e">
        <f>VLOOKUP(B141,players!A:B,2)</f>
        <v>#N/A</v>
      </c>
    </row>
    <row r="142" spans="12:12" x14ac:dyDescent="0.25">
      <c r="L142" t="e">
        <f>VLOOKUP(B142,players!A:B,2)</f>
        <v>#N/A</v>
      </c>
    </row>
    <row r="143" spans="12:12" x14ac:dyDescent="0.25">
      <c r="L143" t="e">
        <f>VLOOKUP(B143,players!A:B,2)</f>
        <v>#N/A</v>
      </c>
    </row>
    <row r="144" spans="12:12" x14ac:dyDescent="0.25">
      <c r="L144" t="e">
        <f>VLOOKUP(B144,players!A:B,2)</f>
        <v>#N/A</v>
      </c>
    </row>
    <row r="145" spans="12:12" x14ac:dyDescent="0.25">
      <c r="L145" t="e">
        <f>VLOOKUP(B145,players!A:B,2)</f>
        <v>#N/A</v>
      </c>
    </row>
    <row r="146" spans="12:12" x14ac:dyDescent="0.25">
      <c r="L146" t="e">
        <f>VLOOKUP(B146,players!A:B,2)</f>
        <v>#N/A</v>
      </c>
    </row>
    <row r="147" spans="12:12" x14ac:dyDescent="0.25">
      <c r="L147" t="e">
        <f>VLOOKUP(B147,players!A:B,2)</f>
        <v>#N/A</v>
      </c>
    </row>
    <row r="148" spans="12:12" x14ac:dyDescent="0.25">
      <c r="L148" t="e">
        <f>VLOOKUP(B148,players!A:B,2)</f>
        <v>#N/A</v>
      </c>
    </row>
    <row r="149" spans="12:12" x14ac:dyDescent="0.25">
      <c r="L149" t="e">
        <f>VLOOKUP(B149,players!A:B,2)</f>
        <v>#N/A</v>
      </c>
    </row>
    <row r="150" spans="12:12" x14ac:dyDescent="0.25">
      <c r="L150" t="e">
        <f>VLOOKUP(B150,players!A:B,2)</f>
        <v>#N/A</v>
      </c>
    </row>
    <row r="151" spans="12:12" x14ac:dyDescent="0.25">
      <c r="L151" t="e">
        <f>VLOOKUP(B151,players!A:B,2)</f>
        <v>#N/A</v>
      </c>
    </row>
    <row r="152" spans="12:12" x14ac:dyDescent="0.25">
      <c r="L152" t="e">
        <f>VLOOKUP(B152,players!A:B,2)</f>
        <v>#N/A</v>
      </c>
    </row>
    <row r="153" spans="12:12" x14ac:dyDescent="0.25">
      <c r="L153" t="e">
        <f>VLOOKUP(B153,players!A:B,2)</f>
        <v>#N/A</v>
      </c>
    </row>
    <row r="154" spans="12:12" x14ac:dyDescent="0.25">
      <c r="L154" t="e">
        <f>VLOOKUP(B154,players!A:B,2)</f>
        <v>#N/A</v>
      </c>
    </row>
    <row r="155" spans="12:12" x14ac:dyDescent="0.25">
      <c r="L155" t="e">
        <f>VLOOKUP(B155,players!A:B,2)</f>
        <v>#N/A</v>
      </c>
    </row>
    <row r="156" spans="12:12" x14ac:dyDescent="0.25">
      <c r="L156" t="e">
        <f>VLOOKUP(B156,players!A:B,2)</f>
        <v>#N/A</v>
      </c>
    </row>
    <row r="157" spans="12:12" x14ac:dyDescent="0.25">
      <c r="L157" t="e">
        <f>VLOOKUP(B157,players!A:B,2)</f>
        <v>#N/A</v>
      </c>
    </row>
    <row r="158" spans="12:12" x14ac:dyDescent="0.25">
      <c r="L158" t="e">
        <f>VLOOKUP(B158,players!A:B,2)</f>
        <v>#N/A</v>
      </c>
    </row>
    <row r="159" spans="12:12" x14ac:dyDescent="0.25">
      <c r="L159" t="e">
        <f>VLOOKUP(B159,players!A:B,2)</f>
        <v>#N/A</v>
      </c>
    </row>
    <row r="160" spans="12:12" x14ac:dyDescent="0.25">
      <c r="L160" t="e">
        <f>VLOOKUP(B160,players!A:B,2)</f>
        <v>#N/A</v>
      </c>
    </row>
    <row r="161" spans="12:12" x14ac:dyDescent="0.25">
      <c r="L161" t="e">
        <f>VLOOKUP(B161,players!A:B,2)</f>
        <v>#N/A</v>
      </c>
    </row>
    <row r="162" spans="12:12" x14ac:dyDescent="0.25">
      <c r="L162" t="e">
        <f>VLOOKUP(B162,players!A:B,2)</f>
        <v>#N/A</v>
      </c>
    </row>
    <row r="163" spans="12:12" x14ac:dyDescent="0.25">
      <c r="L163" t="e">
        <f>VLOOKUP(B163,players!A:B,2)</f>
        <v>#N/A</v>
      </c>
    </row>
    <row r="164" spans="12:12" x14ac:dyDescent="0.25">
      <c r="L164" t="e">
        <f>VLOOKUP(B164,players!A:B,2)</f>
        <v>#N/A</v>
      </c>
    </row>
    <row r="165" spans="12:12" x14ac:dyDescent="0.25">
      <c r="L165" t="e">
        <f>VLOOKUP(B165,players!A:B,2)</f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2026-06-21T22:00:15Z</dcterms:modified>
</cp:coreProperties>
</file>