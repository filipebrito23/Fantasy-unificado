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297" documentId="11_1E8727D0025DE2D9980AC087651940E765748321" xr6:coauthVersionLast="47" xr6:coauthVersionMax="47" xr10:uidLastSave="{C1D6F44F-84B4-4238-8617-D1C53C47647E}"/>
  <bookViews>
    <workbookView xWindow="-120" yWindow="-120" windowWidth="29040" windowHeight="1572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7" i="9" l="1"/>
  <c r="L196" i="9"/>
  <c r="L195" i="9"/>
  <c r="L194" i="9"/>
  <c r="L193" i="9"/>
  <c r="L192" i="9"/>
  <c r="L191" i="9"/>
  <c r="L190" i="9"/>
  <c r="L189" i="9"/>
  <c r="L188" i="9"/>
  <c r="L187" i="9"/>
  <c r="L81" i="9"/>
  <c r="L186" i="9"/>
  <c r="L185" i="9"/>
  <c r="L184" i="9"/>
  <c r="L183" i="9"/>
  <c r="L182" i="9"/>
  <c r="L181" i="9"/>
  <c r="L180" i="9"/>
  <c r="L179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<sst xmlns="http://schemas.openxmlformats.org/spreadsheetml/2006/main" count="13372" uniqueCount="795">
  <si>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</si>
  <si>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</si>
  <si>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</si>
  <si>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</si>
  <si>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</si>
  <si>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</si>
  <si>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</si>
  <si>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</si>
  <si>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</si>
  <si>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</si>
  <si>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</si>
  <si>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</si>
  <si>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</si>
  <si>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</si>
  <si>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</si>
  <si>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</si>
  <si>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</si>
  <si>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</si>
  <si>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</si>
  <si>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</si>
  <si>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</si>
  <si>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</si>
  <si>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</si>
  <si>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</si>
  <si>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</si>
  <si>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</si>
  <si>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</si>
  <si>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</si>
  <si>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</si>
  <si>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</si>
  <si>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</si>
  <si>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</si>
  <si>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</si>
  <si>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</si>
  <si>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</si>
  <si>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</si>
  <si>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</si>
  <si>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</si>
  <si>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</si>
  <si>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</si>
  <si>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</si>
  <si>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</si>
  <si>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</si>
  <si>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</si>
  <si>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</si>
  <si>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</si>
  <si>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</si>
  <si>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</si>
  <si>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</si>
  <si>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</si>
  <si>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</si>
  <si>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</si>
  <si>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</si>
  <si>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</si>
  <si>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</si>
  <si>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</si>
  <si>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</si>
  <si>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</si>
  <si>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</si>
  <si>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</si>
  <si>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</si>
  <si>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</si>
  <si>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</si>
  <si>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</si>
  <si>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</si>
  <si>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</si>
  <si>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</si>
  <si>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</si>
  <si>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</si>
  <si>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</si>
  <si>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</si>
  <si>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</si>
  <si>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</si>
  <si>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</si>
  <si>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</si>
  <si>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</si>
  <si>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</si>
  <si>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</si>
  <si>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</si>
  <si>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</si>
  <si>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</si>
  <si>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</si>
  <si>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</si>
  <si>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</si>
  <si>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</si>
  <si>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</si>
  <si>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</si>
  <si>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</si>
  <si>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</si>
  <si>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</si>
  <si>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</si>
  <si>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</si>
  <si>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</si>
  <si>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</si>
  <si>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</si>
  <si>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</si>
  <si>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</si>
  <si>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</si>
  <si>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</si>
  <si>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</si>
  <si>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</si>
  <si>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</si>
  <si>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</si>
  <si>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</si>
  <si>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</si>
  <si>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</si>
  <si>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</si>
  <si>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</si>
  <si>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</si>
  <si>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</si>
  <si>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</si>
  <si>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</si>
  <si>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</si>
  <si>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</si>
  <si>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</si>
  <si>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</si>
  <si>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</si>
  <si>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</si>
  <si>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</si>
  <si>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</si>
  <si>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</si>
  <si>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</si>
  <si>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</si>
  <si>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</si>
  <si>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</si>
  <si>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</si>
  <si>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</si>
  <si>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</si>
  <si>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</si>
  <si>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</si>
  <si>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</si>
  <si>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</si>
  <si>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</si>
  <si>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</si>
  <si>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</si>
  <si>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</si>
  <si>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</si>
  <si>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</si>
  <si>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</si>
  <si>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</si>
  <si>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</si>
  <si>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</si>
  <si>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</si>
  <si>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</si>
  <si>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</si>
  <si>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</si>
  <si>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</si>
  <si>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</si>
  <si>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</si>
  <si>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</si>
  <si>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</si>
  <si>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</si>
  <si>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</si>
  <si>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</si>
  <si>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</si>
  <si>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</si>
  <si>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</si>
  <si>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</si>
  <si>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</si>
  <si>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</si>
  <si>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</si>
  <si>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</si>
  <si>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</si>
  <si>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</si>
  <si>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</si>
  <si>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</si>
  <si>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</si>
  <si>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</si>
  <si>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</si>
  <si>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</si>
  <si>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</si>
  <si>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</si>
  <si>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</si>
  <si>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</si>
  <si>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</si>
  <si>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</si>
  <si>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</si>
  <si>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</si>
  <si>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</si>
  <si>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</si>
  <si>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</si>
  <si>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</si>
  <si>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</si>
  <si>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</si>
  <si>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</si>
  <si>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</si>
  <si>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</si>
  <si>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</si>
  <si>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</si>
  <si>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</si>
  <si>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</si>
  <si>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</si>
  <si>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</si>
  <si>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</si>
  <si>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</si>
  <si>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</si>
  <si>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</si>
  <si>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</si>
  <si>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</si>
  <si>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</si>
  <si>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</si>
  <si>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</si>
  <si>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</si>
  <si>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</si>
  <si>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</si>
  <si>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</si>
  <si>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</si>
  <si>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</si>
  <si>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</si>
  <si>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</si>
  <si>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</si>
  <si>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</si>
  <si>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</si>
  <si>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</si>
  <si>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</si>
  <si>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</si>
  <si>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</si>
  <si>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</si>
  <si>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</si>
  <si>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</si>
  <si>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</si>
  <si>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</si>
  <si>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</si>
  <si>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</si>
  <si>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</si>
  <si>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</si>
  <si>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</si>
  <si>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</si>
  <si>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</si>
  <si>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</si>
  <si>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</si>
  <si>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</si>
  <si>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</si>
  <si>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</si>
  <si>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</si>
  <si>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</si>
  <si>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</si>
  <si>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</si>
  <si>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</si>
  <si>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</si>
  <si>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</si>
  <si>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</si>
  <si>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</si>
  <si>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</si>
  <si>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</si>
  <si>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</si>
  <si>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</si>
  <si>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</si>
  <si>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</si>
  <si>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</si>
  <si>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</si>
  <si>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</si>
  <si>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</si>
  <si>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</si>
  <si>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</si>
  <si>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</si>
  <si>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</si>
  <si>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</si>
  <si>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</si>
  <si>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</si>
  <si>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</si>
  <si>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</si>
  <si>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</si>
  <si>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</si>
  <si>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</si>
  <si>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</si>
  <si>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</si>
  <si>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</si>
  <si>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</si>
  <si>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</si>
  <si>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</si>
  <si>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</si>
  <si>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</si>
  <si>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</si>
  <si>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</si>
  <si>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</si>
  <si>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</si>
  <si>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</si>
  <si>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</si>
  <si>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</si>
  <si>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</si>
  <si>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</si>
  <si>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</si>
  <si>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</si>
  <si>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</si>
  <si>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</si>
  <si>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</si>
  <si>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</si>
  <si>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</si>
  <si>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</si>
  <si>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</si>
  <si>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</si>
  <si>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</si>
  <si>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</si>
  <si>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</si>
  <si>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</si>
  <si>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</si>
  <si>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</si>
  <si>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</si>
  <si>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</si>
  <si>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</si>
  <si>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</si>
  <si>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</si>
  <si>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</si>
  <si>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</si>
  <si>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</si>
  <si>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</si>
  <si>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</si>
  <si>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</si>
  <si>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</si>
  <si>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</si>
  <si>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</si>
  <si>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</si>
  <si>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</si>
  <si>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</si>
  <si>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</si>
  <si>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</si>
  <si>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</si>
  <si>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</si>
  <si>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</si>
  <si>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</si>
  <si>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</si>
  <si>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</si>
  <si>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</si>
  <si>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</si>
  <si>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</si>
  <si>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</si>
  <si>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</si>
  <si>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</si>
  <si>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</si>
  <si>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</si>
  <si>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</si>
  <si>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</si>
  <si>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</si>
  <si>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</si>
  <si>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</si>
  <si>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</si>
  <si>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</si>
  <si>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</si>
  <si>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</si>
  <si>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</si>
  <si>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</si>
  <si>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</si>
  <si>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</si>
  <si>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</si>
  <si>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</si>
  <si>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</si>
  <si>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</si>
  <si>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</si>
  <si>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</si>
  <si>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</si>
  <si>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</si>
  <si>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</si>
  <si>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</si>
  <si>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</si>
  <si>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</si>
  <si>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</si>
  <si>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</si>
  <si>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</si>
  <si>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</si>
  <si>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</si>
  <si>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</si>
  <si>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</si>
  <si>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</si>
  <si>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</si>
  <si>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</si>
  <si>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</si>
  <si>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</si>
  <si>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</si>
  <si>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</si>
  <si>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</si>
  <si>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</si>
  <si>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</si>
  <si>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</si>
  <si>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</si>
  <si>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</si>
  <si>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</si>
  <si>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</si>
  <si>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</si>
  <si>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</si>
  <si>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</si>
  <si>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</si>
  <si>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</si>
  <si>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</si>
  <si>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</si>
  <si>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</si>
  <si>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</si>
  <si>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</si>
  <si>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</si>
  <si>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</si>
  <si>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</si>
  <si>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</si>
  <si>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</si>
  <si>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</si>
  <si>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</si>
  <si>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</si>
  <si>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</si>
  <si>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</si>
  <si>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</si>
  <si>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</si>
  <si>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</si>
  <si>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</si>
  <si>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</si>
  <si>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</si>
  <si>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</si>
  <si>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</si>
  <si>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</si>
  <si>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</si>
  <si>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</si>
  <si>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</si>
  <si>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</si>
  <si>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</si>
  <si>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</si>
  <si>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</si>
  <si>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</si>
  <si>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</si>
  <si>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</si>
  <si>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</si>
  <si>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</si>
  <si>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</si>
  <si>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</si>
  <si>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</si>
  <si>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</si>
  <si>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</si>
  <si>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</si>
  <si>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</si>
  <si>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</si>
  <si>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</si>
  <si>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</si>
  <si>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</si>
  <si>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</si>
  <si>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</si>
  <si>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</si>
  <si>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</si>
  <si>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</si>
  <si>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</si>
  <si>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</si>
  <si>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</si>
  <si>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</si>
  <si>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</si>
  <si>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</si>
  <si>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</si>
  <si>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</si>
  <si>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</si>
  <si>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</si>
  <si>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</si>
  <si>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</si>
  <si>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</si>
  <si>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</si>
  <si>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</si>
  <si>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</si>
  <si>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</si>
  <si>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</si>
  <si>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</si>
  <si>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</si>
  <si>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</si>
  <si>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</si>
  <si>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</si>
  <si>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</si>
  <si>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</si>
  <si>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</si>
  <si>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</si>
  <si>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</si>
  <si>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</si>
  <si>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</si>
  <si>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</si>
  <si>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</si>
  <si>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</si>
  <si>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</si>
  <si>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</si>
  <si>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</si>
  <si>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</si>
  <si>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</si>
  <si>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</si>
  <si>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</si>
  <si>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</si>
  <si>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</si>
  <si>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</si>
  <si>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</si>
  <si>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</si>
  <si>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</si>
  <si>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</si>
  <si>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</si>
  <si>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</si>
  <si>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</si>
  <si>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</si>
  <si>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</si>
  <si>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</si>
  <si>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</si>
  <si>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</si>
  <si>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</si>
  <si>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</si>
  <si>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</si>
  <si>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</si>
  <si>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</si>
  <si>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</si>
  <si>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</si>
  <si>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</si>
  <si>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</si>
  <si>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</si>
  <si>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</si>
  <si>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</si>
  <si>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</si>
  <si>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</si>
  <si>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</si>
  <si>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</si>
  <si>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</si>
  <si>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</si>
  <si>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</si>
  <si>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</si>
  <si>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</si>
  <si>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</si>
  <si>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</si>
  <si>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</si>
  <si>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</si>
  <si>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</si>
  <si>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</si>
  <si>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</si>
  <si>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</si>
  <si>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</si>
  <si>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</si>
  <si>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</si>
  <si>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</si>
  <si>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</si>
  <si>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</si>
  <si>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</si>
  <si>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</si>
  <si>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</si>
  <si>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</si>
  <si>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</si>
  <si>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</si>
  <si>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</si>
  <si>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</si>
  <si>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</si>
  <si>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</si>
  <si>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</si>
  <si>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</si>
  <si>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</si>
  <si>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</si>
  <si>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</si>
  <si>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</si>
  <si>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</si>
  <si>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</si>
  <si>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</si>
  <si>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</si>
  <si>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</si>
  <si>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</si>
  <si>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</si>
  <si>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</si>
  <si>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</si>
  <si>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</si>
  <si>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</si>
  <si>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</si>
  <si>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</si>
  <si>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</si>
  <si>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</si>
  <si>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</si>
  <si>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</si>
  <si>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</si>
  <si>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</si>
  <si>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</si>
  <si>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</si>
  <si>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</si>
  <si>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</si>
  <si>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</si>
  <si>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</si>
  <si>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</si>
  <si>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</si>
  <si>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</si>
  <si>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</si>
  <si>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</si>
  <si>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</si>
  <si>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</si>
  <si>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</si>
  <si>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</si>
  <si>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</si>
  <si>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</si>
  <si>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</si>
  <si>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</si>
  <si>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</si>
  <si>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</si>
  <si>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</si>
  <si>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</si>
  <si>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</si>
  <si>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</si>
  <si>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</si>
  <si>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</si>
  <si>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</si>
  <si>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</si>
  <si>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</si>
  <si>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</si>
  <si>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</si>
  <si>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</si>
  <si>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</si>
  <si>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</si>
  <si>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</si>
  <si>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</si>
  <si>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</si>
  <si>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</si>
  <si>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</si>
  <si>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</si>
  <si>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</si>
  <si>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</si>
  <si>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</si>
  <si>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</si>
  <si>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</si>
  <si>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</si>
  <si>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</si>
  <si>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</si>
  <si>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</si>
  <si>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</si>
  <si>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</si>
  <si>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</si>
  <si>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</si>
  <si>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</si>
  <si>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</si>
  <si>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</si>
  <si>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</si>
  <si>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</si>
  <si>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</si>
  <si>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</si>
  <si>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</si>
  <si>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</si>
  <si>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</si>
  <si>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</si>
  <si>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</si>
  <si>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</si>
  <si>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</si>
  <si>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</si>
  <si>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</si>
  <si>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</si>
  <si>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</si>
  <si>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</si>
  <si>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</si>
  <si>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</si>
  <si>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</si>
  <si>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</si>
  <si>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</si>
  <si>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</si>
  <si>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</si>
  <si>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</si>
  <si>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</si>
  <si>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</si>
  <si>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</si>
  <si>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</si>
  <si>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</si>
  <si>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</si>
  <si>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</si>
  <si>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</si>
  <si>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</si>
  <si>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</si>
  <si>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</si>
  <si>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</si>
  <si>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</si>
  <si>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</si>
  <si>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</si>
  <si>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</si>
  <si>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</si>
  <si>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</si>
  <si>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</si>
  <si>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</si>
  <si>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</si>
  <si>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</si>
  <si>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</si>
  <si>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</si>
  <si>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</si>
  <si>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</si>
  <si>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</si>
  <si>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</si>
  <si>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</si>
  <si>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</si>
  <si>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</si>
  <si>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</si>
  <si>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</si>
  <si>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</si>
  <si>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</si>
  <si>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</si>
  <si>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</si>
  <si>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</si>
  <si>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</si>
  <si>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</si>
  <si>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</si>
  <si>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</si>
  <si>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</si>
  <si>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</si>
  <si>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</si>
  <si>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</si>
  <si>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</si>
  <si>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</si>
  <si>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</si>
  <si>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</si>
  <si>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</si>
  <si>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</si>
  <si>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</si>
  <si>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</si>
  <si>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</si>
  <si>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</si>
  <si>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</si>
  <si>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</si>
  <si>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</si>
  <si>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</si>
  <si>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</si>
  <si>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</si>
  <si>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</si>
  <si>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</si>
  <si>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</si>
  <si>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</si>
  <si>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</si>
  <si>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</si>
  <si>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</si>
  <si>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</si>
  <si>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</si>
  <si>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</si>
  <si>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</si>
  <si>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</si>
  <si>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</si>
  <si>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</si>
  <si>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</si>
  <si>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</si>
  <si>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</si>
  <si>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</si>
  <si>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</si>
  <si>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</si>
  <si>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</si>
  <si>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</si>
  <si>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</si>
  <si>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</si>
  <si>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</si>
  <si>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</si>
  <si>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</si>
  <si>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</si>
  <si>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</si>
  <si>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</si>
  <si>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</si>
  <si>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</si>
  <si>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</si>
  <si>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</si>
  <si>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</si>
  <si>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</si>
  <si>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</si>
  <si>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</si>
  <si>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</si>
  <si>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</si>
  <si>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</si>
  <si>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</si>
  <si>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</si>
  <si>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</si>
  <si>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</si>
  <si>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</si>
  <si>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</si>
  <si>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</si>
  <si>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</si>
  <si>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</si>
  <si>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</si>
  <si>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</si>
  <si>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</si>
  <si>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</si>
  <si>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</si>
  <si>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</si>
  <si>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</si>
  <si>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</si>
  <si>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</si>
  <si>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</si>
  <si>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</si>
  <si>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</si>
  <si>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</si>
  <si>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</si>
  <si>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</si>
  <si>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</si>
  <si>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</si>
  <si>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</si>
  <si>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</si>
  <si>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</si>
  <si>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</si>
  <si>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</si>
  <si>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</si>
  <si>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</si>
  <si>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</si>
  <si>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</si>
  <si>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</si>
  <si>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</si>
  <si>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</si>
  <si>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</si>
  <si>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</si>
  <si>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</si>
  <si>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</si>
  <si>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</si>
  <si>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</si>
  <si>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</si>
  <si>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</si>
  <si>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</si>
  <si>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</si>
  <si>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</si>
  <si>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</si>
  <si>
    <t>Derek Lively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</si>
</sst>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6"/>
  <sheetViews>
    <sheetView topLeftCell="A78" workbookViewId="0">
      <selection activeCell="B92" sqref="B92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794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7"/>
  <sheetViews>
    <sheetView tabSelected="1" topLeftCell="A172" workbookViewId="0">
      <selection activeCell="O194" sqref="O194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D4">
        <v>1000000</v>
      </c>
      <c r="F4">
        <v>1000000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172</v>
      </c>
      <c r="C15">
        <v>3</v>
      </c>
      <c r="D15">
        <v>7500000</v>
      </c>
      <c r="F15">
        <v>8500000</v>
      </c>
      <c r="G15" t="s">
        <v>596</v>
      </c>
      <c r="H15">
        <v>9000000</v>
      </c>
      <c r="I15" t="s">
        <v>596</v>
      </c>
      <c r="L15" t="str">
        <f>VLOOKUP(B15,players!A:B,2)</f>
        <v>Ace Bailey</v>
      </c>
    </row>
    <row r="16" spans="1:12" x14ac:dyDescent="0.25">
      <c r="A16">
        <v>3</v>
      </c>
      <c r="B16">
        <v>146</v>
      </c>
      <c r="C16">
        <v>4</v>
      </c>
      <c r="D16">
        <v>1000000</v>
      </c>
      <c r="F16">
        <v>1000000</v>
      </c>
      <c r="L16" t="str">
        <f>VLOOKUP(B16,players!A:B,2)</f>
        <v>Andrew Wiggins</v>
      </c>
    </row>
    <row r="17" spans="1:12" x14ac:dyDescent="0.25">
      <c r="A17">
        <v>1</v>
      </c>
      <c r="B17">
        <v>355</v>
      </c>
      <c r="C17">
        <v>6</v>
      </c>
      <c r="D17">
        <v>1000000</v>
      </c>
      <c r="F17">
        <v>1000000</v>
      </c>
      <c r="G17" t="s">
        <v>596</v>
      </c>
      <c r="H17">
        <v>1000000</v>
      </c>
      <c r="I17" t="s">
        <v>596</v>
      </c>
      <c r="L17" t="str">
        <f>VLOOKUP(B17,players!A:B,2)</f>
        <v>Asa Newell</v>
      </c>
    </row>
    <row r="18" spans="1:12" x14ac:dyDescent="0.25">
      <c r="A18">
        <v>1</v>
      </c>
      <c r="B18">
        <v>39</v>
      </c>
      <c r="C18">
        <v>7</v>
      </c>
      <c r="D18">
        <v>6500000</v>
      </c>
      <c r="F18">
        <v>6500000</v>
      </c>
      <c r="L18" t="str">
        <f>VLOOKUP(B18,players!A:B,2)</f>
        <v>Onyeka Okongwu</v>
      </c>
    </row>
    <row r="19" spans="1:12" x14ac:dyDescent="0.25">
      <c r="A19">
        <v>1</v>
      </c>
      <c r="B19">
        <v>78</v>
      </c>
      <c r="C19">
        <v>8</v>
      </c>
      <c r="D19">
        <v>4200000</v>
      </c>
      <c r="F19">
        <v>4500000</v>
      </c>
      <c r="G19" t="s">
        <v>596</v>
      </c>
      <c r="L19" t="str">
        <f>VLOOKUP(B19,players!A:B,2)</f>
        <v>Matas Buzelis</v>
      </c>
    </row>
    <row r="20" spans="1:12" x14ac:dyDescent="0.25">
      <c r="A20">
        <v>1</v>
      </c>
      <c r="B20">
        <v>128</v>
      </c>
      <c r="C20">
        <v>9</v>
      </c>
      <c r="D20">
        <v>40000000</v>
      </c>
      <c r="F20">
        <v>40000000</v>
      </c>
      <c r="H20">
        <v>40000000</v>
      </c>
      <c r="L20" t="str">
        <f>VLOOKUP(B20,players!A:B,2)</f>
        <v>Anthony Edwards</v>
      </c>
    </row>
    <row r="21" spans="1:12" x14ac:dyDescent="0.25">
      <c r="A21">
        <v>1</v>
      </c>
      <c r="B21">
        <v>176</v>
      </c>
      <c r="C21">
        <v>10</v>
      </c>
      <c r="D21">
        <v>30500000</v>
      </c>
      <c r="F21">
        <v>30500000</v>
      </c>
      <c r="H21">
        <v>30500000</v>
      </c>
      <c r="L21" t="str">
        <f>VLOOKUP(B21,players!A:B,2)</f>
        <v>Tyrese Maxey</v>
      </c>
    </row>
    <row r="22" spans="1:12" x14ac:dyDescent="0.25">
      <c r="A22">
        <v>5</v>
      </c>
      <c r="B22">
        <v>187</v>
      </c>
      <c r="C22">
        <v>13</v>
      </c>
      <c r="D22">
        <v>1000000</v>
      </c>
      <c r="F22">
        <v>1000000</v>
      </c>
      <c r="L22" t="str">
        <f>VLOOKUP(B22,players!A:B,2)</f>
        <v>Jay Huff</v>
      </c>
    </row>
    <row r="23" spans="1:12" x14ac:dyDescent="0.25">
      <c r="A23">
        <v>1</v>
      </c>
      <c r="B23">
        <v>432</v>
      </c>
      <c r="C23">
        <v>14</v>
      </c>
      <c r="D23">
        <v>1000000</v>
      </c>
      <c r="F23">
        <v>1000000</v>
      </c>
      <c r="H23">
        <v>1000000</v>
      </c>
      <c r="I23" t="s">
        <v>596</v>
      </c>
      <c r="J23">
        <v>1000000</v>
      </c>
      <c r="K23" t="s">
        <v>596</v>
      </c>
      <c r="L23" t="str">
        <f>VLOOKUP(B23,players!A:B,2)</f>
        <v>Dailyn Swain</v>
      </c>
    </row>
    <row r="24" spans="1:12" x14ac:dyDescent="0.25">
      <c r="A24">
        <v>1</v>
      </c>
      <c r="B24">
        <v>439</v>
      </c>
      <c r="C24">
        <v>15</v>
      </c>
      <c r="D24">
        <v>1000000</v>
      </c>
      <c r="F24">
        <v>1000000</v>
      </c>
      <c r="H24">
        <v>1000000</v>
      </c>
      <c r="I24" t="s">
        <v>596</v>
      </c>
      <c r="J24">
        <v>1000000</v>
      </c>
      <c r="K24" t="s">
        <v>596</v>
      </c>
      <c r="L24" t="str">
        <f>VLOOKUP(B24,players!A:B,2)</f>
        <v>Karim López</v>
      </c>
    </row>
    <row r="25" spans="1:12" x14ac:dyDescent="0.25">
      <c r="A25">
        <v>1</v>
      </c>
      <c r="B25">
        <v>424</v>
      </c>
      <c r="C25">
        <v>15</v>
      </c>
      <c r="D25">
        <v>3800000</v>
      </c>
      <c r="F25">
        <v>4000000</v>
      </c>
      <c r="H25">
        <v>4200000</v>
      </c>
      <c r="I25" t="s">
        <v>596</v>
      </c>
      <c r="J25">
        <v>4500000</v>
      </c>
      <c r="K25" t="s">
        <v>596</v>
      </c>
      <c r="L25" t="str">
        <f>VLOOKUP(B25,players!A:B,2)</f>
        <v>Hannes Steinbach</v>
      </c>
    </row>
    <row r="26" spans="1:12" x14ac:dyDescent="0.25">
      <c r="A26">
        <v>1</v>
      </c>
      <c r="B26">
        <v>425</v>
      </c>
      <c r="C26">
        <v>16</v>
      </c>
      <c r="D26">
        <v>3600000</v>
      </c>
      <c r="F26">
        <v>3800000</v>
      </c>
      <c r="H26">
        <v>4000000</v>
      </c>
      <c r="I26" t="s">
        <v>596</v>
      </c>
      <c r="J26">
        <v>4300000</v>
      </c>
      <c r="K26" t="s">
        <v>596</v>
      </c>
      <c r="L26" t="str">
        <f>VLOOKUP(B26,players!A:B,2)</f>
        <v>Keaton Wagler</v>
      </c>
    </row>
    <row r="27" spans="1:12" x14ac:dyDescent="0.25">
      <c r="A27">
        <v>2</v>
      </c>
      <c r="B27">
        <v>320</v>
      </c>
      <c r="C27">
        <v>1</v>
      </c>
      <c r="D27">
        <v>1000000</v>
      </c>
      <c r="F27">
        <v>1000000</v>
      </c>
      <c r="G27" t="s">
        <v>596</v>
      </c>
      <c r="L27" t="str">
        <f>VLOOKUP(B27,players!A:B,2)</f>
        <v>Cam Spencer</v>
      </c>
    </row>
    <row r="28" spans="1:12" x14ac:dyDescent="0.25">
      <c r="A28">
        <v>2</v>
      </c>
      <c r="B28">
        <v>21</v>
      </c>
      <c r="C28">
        <v>2</v>
      </c>
      <c r="D28">
        <v>23500000</v>
      </c>
      <c r="F28">
        <v>23500000</v>
      </c>
      <c r="H28">
        <v>23500000</v>
      </c>
      <c r="L28" t="str">
        <f>VLOOKUP(B28,players!A:B,2)</f>
        <v>Alperen Şengün</v>
      </c>
    </row>
    <row r="29" spans="1:12" x14ac:dyDescent="0.25">
      <c r="A29">
        <v>2</v>
      </c>
      <c r="B29">
        <v>96</v>
      </c>
      <c r="C29">
        <v>3</v>
      </c>
      <c r="D29">
        <v>15000000</v>
      </c>
      <c r="L29" t="str">
        <f>VLOOKUP(B29,players!A:B,2)</f>
        <v>Kevin Durant</v>
      </c>
    </row>
    <row r="30" spans="1:12" x14ac:dyDescent="0.25">
      <c r="A30">
        <v>2</v>
      </c>
      <c r="B30">
        <v>136</v>
      </c>
      <c r="C30">
        <v>4</v>
      </c>
      <c r="D30">
        <v>9000000</v>
      </c>
      <c r="L30" t="str">
        <f>VLOOKUP(B30,players!A:B,2)</f>
        <v>Brandon Miller</v>
      </c>
    </row>
    <row r="31" spans="1:12" x14ac:dyDescent="0.25">
      <c r="A31">
        <v>2</v>
      </c>
      <c r="B31">
        <v>219</v>
      </c>
      <c r="C31">
        <v>5</v>
      </c>
      <c r="D31">
        <v>7000000</v>
      </c>
      <c r="F31">
        <v>7000000</v>
      </c>
      <c r="H31">
        <v>7000000</v>
      </c>
      <c r="L31" t="str">
        <f>VLOOKUP(B31,players!A:B,2)</f>
        <v>Jalen Green</v>
      </c>
    </row>
    <row r="32" spans="1:12" x14ac:dyDescent="0.25">
      <c r="A32">
        <v>2</v>
      </c>
      <c r="B32">
        <v>144</v>
      </c>
      <c r="C32">
        <v>6</v>
      </c>
      <c r="D32">
        <v>6000000</v>
      </c>
      <c r="F32">
        <v>6000000</v>
      </c>
      <c r="L32" t="str">
        <f>VLOOKUP(B32,players!A:B,2)</f>
        <v>Tyler Herro</v>
      </c>
    </row>
    <row r="33" spans="1:12" x14ac:dyDescent="0.25">
      <c r="A33">
        <v>2</v>
      </c>
      <c r="B33">
        <v>362</v>
      </c>
      <c r="C33">
        <v>7</v>
      </c>
      <c r="D33">
        <v>21500000</v>
      </c>
      <c r="F33">
        <v>21500000</v>
      </c>
      <c r="H33">
        <v>21500000</v>
      </c>
      <c r="L33" t="str">
        <f>VLOOKUP(B33,players!A:B,2)</f>
        <v>Trae Young</v>
      </c>
    </row>
    <row r="34" spans="1:12" x14ac:dyDescent="0.25">
      <c r="A34">
        <v>2</v>
      </c>
      <c r="B34">
        <v>69</v>
      </c>
      <c r="C34">
        <v>10</v>
      </c>
      <c r="D34">
        <v>3100000</v>
      </c>
      <c r="F34">
        <v>3100000</v>
      </c>
      <c r="H34">
        <v>3100000</v>
      </c>
      <c r="L34" t="str">
        <f>VLOOKUP(B34,players!A:B,2)</f>
        <v>Bobby Portis</v>
      </c>
    </row>
    <row r="35" spans="1:12" x14ac:dyDescent="0.25">
      <c r="A35">
        <v>2</v>
      </c>
      <c r="B35">
        <v>49</v>
      </c>
      <c r="C35">
        <v>11</v>
      </c>
      <c r="D35">
        <v>3200000</v>
      </c>
      <c r="F35">
        <v>3400000</v>
      </c>
      <c r="G35" t="s">
        <v>596</v>
      </c>
      <c r="H35">
        <v>3700000</v>
      </c>
      <c r="I35" t="s">
        <v>596</v>
      </c>
      <c r="L35" t="str">
        <f>VLOOKUP(B35,players!A:B,2)</f>
        <v>Derik Queen</v>
      </c>
    </row>
    <row r="36" spans="1:12" x14ac:dyDescent="0.25">
      <c r="A36">
        <v>8</v>
      </c>
      <c r="B36">
        <v>237</v>
      </c>
      <c r="C36">
        <v>2</v>
      </c>
      <c r="D36">
        <v>4000000</v>
      </c>
      <c r="F36">
        <v>4000000</v>
      </c>
      <c r="L36" t="str">
        <f>VLOOKUP(B36,players!A:B,2)</f>
        <v>Nickeil Alexander-Walker</v>
      </c>
    </row>
    <row r="37" spans="1:12" x14ac:dyDescent="0.25">
      <c r="A37">
        <v>6</v>
      </c>
      <c r="B37">
        <v>119</v>
      </c>
      <c r="C37">
        <v>3</v>
      </c>
      <c r="D37">
        <v>5000000</v>
      </c>
      <c r="F37">
        <v>5000000</v>
      </c>
      <c r="H37">
        <v>5000000</v>
      </c>
      <c r="J37">
        <v>5000000</v>
      </c>
      <c r="L37" t="str">
        <f>VLOOKUP(B37,players!A:B,2)</f>
        <v>Kyshawn George</v>
      </c>
    </row>
    <row r="38" spans="1:12" x14ac:dyDescent="0.25">
      <c r="A38">
        <v>3</v>
      </c>
      <c r="B38">
        <v>206</v>
      </c>
      <c r="C38">
        <v>4</v>
      </c>
      <c r="D38">
        <v>5000000</v>
      </c>
      <c r="L38" t="str">
        <f>VLOOKUP(B38,players!A:B,2)</f>
        <v>Cameron Johnson</v>
      </c>
    </row>
    <row r="39" spans="1:12" x14ac:dyDescent="0.25">
      <c r="A39">
        <v>13</v>
      </c>
      <c r="B39">
        <v>112</v>
      </c>
      <c r="C39">
        <v>5</v>
      </c>
      <c r="D39">
        <v>5500000</v>
      </c>
      <c r="L39" t="str">
        <f>VLOOKUP(B39,players!A:B,2)</f>
        <v>Myles Turner</v>
      </c>
    </row>
    <row r="40" spans="1:12" x14ac:dyDescent="0.25">
      <c r="A40">
        <v>14</v>
      </c>
      <c r="B40">
        <v>23</v>
      </c>
      <c r="C40">
        <v>6</v>
      </c>
      <c r="D40">
        <v>1500000</v>
      </c>
      <c r="F40">
        <v>1500000</v>
      </c>
      <c r="H40">
        <v>1500000</v>
      </c>
      <c r="L40" t="str">
        <f>VLOOKUP(B40,players!A:B,2)</f>
        <v>Mitchell Robinson</v>
      </c>
    </row>
    <row r="41" spans="1:12" x14ac:dyDescent="0.25">
      <c r="A41">
        <v>3</v>
      </c>
      <c r="B41">
        <v>11</v>
      </c>
      <c r="C41">
        <v>7</v>
      </c>
      <c r="D41">
        <v>14000000</v>
      </c>
      <c r="F41">
        <v>14000000</v>
      </c>
      <c r="H41">
        <v>14000000</v>
      </c>
      <c r="L41" t="str">
        <f>VLOOKUP(B41,players!A:B,2)</f>
        <v>Jalen Duren</v>
      </c>
    </row>
    <row r="42" spans="1:12" x14ac:dyDescent="0.25">
      <c r="A42">
        <v>3</v>
      </c>
      <c r="B42">
        <v>36</v>
      </c>
      <c r="C42">
        <v>8</v>
      </c>
      <c r="D42">
        <v>40000000</v>
      </c>
      <c r="F42">
        <v>40000000</v>
      </c>
      <c r="H42">
        <v>40000000</v>
      </c>
      <c r="L42" t="str">
        <f>VLOOKUP(B42,players!A:B,2)</f>
        <v>Luka Dončić</v>
      </c>
    </row>
    <row r="43" spans="1:12" x14ac:dyDescent="0.25">
      <c r="A43">
        <v>3</v>
      </c>
      <c r="B43">
        <v>68</v>
      </c>
      <c r="C43">
        <v>9</v>
      </c>
      <c r="D43">
        <v>6000000</v>
      </c>
      <c r="L43" t="str">
        <f>VLOOKUP(B43,players!A:B,2)</f>
        <v>Kawhi Leonard</v>
      </c>
    </row>
    <row r="44" spans="1:12" x14ac:dyDescent="0.25">
      <c r="A44">
        <v>3</v>
      </c>
      <c r="B44">
        <v>85</v>
      </c>
      <c r="C44">
        <v>10</v>
      </c>
      <c r="D44">
        <v>14000000</v>
      </c>
      <c r="F44">
        <v>14000000</v>
      </c>
      <c r="L44" t="str">
        <f>VLOOKUP(B44,players!A:B,2)</f>
        <v>Jaren Jackson Jr.</v>
      </c>
    </row>
    <row r="45" spans="1:12" x14ac:dyDescent="0.25">
      <c r="A45">
        <v>3</v>
      </c>
      <c r="B45">
        <v>117</v>
      </c>
      <c r="C45">
        <v>11</v>
      </c>
      <c r="D45">
        <v>6500000</v>
      </c>
      <c r="F45">
        <v>6500000</v>
      </c>
      <c r="H45">
        <v>6500000</v>
      </c>
      <c r="L45" t="str">
        <f>VLOOKUP(B45,players!A:B,2)</f>
        <v>OG Anunoby</v>
      </c>
    </row>
    <row r="46" spans="1:12" x14ac:dyDescent="0.25">
      <c r="A46">
        <v>3</v>
      </c>
      <c r="B46">
        <v>142</v>
      </c>
      <c r="C46">
        <v>12</v>
      </c>
      <c r="D46">
        <v>5000000</v>
      </c>
      <c r="L46" t="str">
        <f>VLOOKUP(B46,players!A:B,2)</f>
        <v>Kyrie Irving</v>
      </c>
    </row>
    <row r="47" spans="1:12" x14ac:dyDescent="0.25">
      <c r="A47">
        <v>4</v>
      </c>
      <c r="B47">
        <v>379</v>
      </c>
      <c r="C47">
        <v>1</v>
      </c>
      <c r="D47">
        <v>1000000</v>
      </c>
      <c r="F47">
        <v>1000000</v>
      </c>
      <c r="G47" t="s">
        <v>596</v>
      </c>
      <c r="H47">
        <v>1000000</v>
      </c>
      <c r="I47" t="s">
        <v>596</v>
      </c>
      <c r="L47" t="str">
        <f>VLOOKUP(B47,players!A:B,2)</f>
        <v>Nolan Traoré</v>
      </c>
    </row>
    <row r="48" spans="1:12" x14ac:dyDescent="0.25">
      <c r="A48">
        <v>4</v>
      </c>
      <c r="B48">
        <v>364</v>
      </c>
      <c r="C48">
        <v>2</v>
      </c>
      <c r="D48">
        <v>1000000</v>
      </c>
      <c r="F48">
        <v>1000000</v>
      </c>
      <c r="G48" t="s">
        <v>596</v>
      </c>
      <c r="L48" t="str">
        <f>VLOOKUP(B48,players!A:B,2)</f>
        <v>Jared McCain</v>
      </c>
    </row>
    <row r="49" spans="1:12" x14ac:dyDescent="0.25">
      <c r="A49">
        <v>11</v>
      </c>
      <c r="B49">
        <v>104</v>
      </c>
      <c r="C49">
        <v>3</v>
      </c>
      <c r="D49">
        <v>1000000</v>
      </c>
      <c r="F49">
        <v>1000000</v>
      </c>
      <c r="L49" t="str">
        <f>VLOOKUP(B49,players!A:B,2)</f>
        <v>Keldon Johnson</v>
      </c>
    </row>
    <row r="50" spans="1:12" x14ac:dyDescent="0.25">
      <c r="A50">
        <v>4</v>
      </c>
      <c r="B50">
        <v>62</v>
      </c>
      <c r="C50">
        <v>4</v>
      </c>
      <c r="D50">
        <v>2500000</v>
      </c>
      <c r="L50" t="str">
        <f>VLOOKUP(B50,players!A:B,2)</f>
        <v>Santi Aldama</v>
      </c>
    </row>
    <row r="51" spans="1:12" x14ac:dyDescent="0.25">
      <c r="A51">
        <v>4</v>
      </c>
      <c r="B51">
        <v>33</v>
      </c>
      <c r="C51">
        <v>5</v>
      </c>
      <c r="D51">
        <v>11000000</v>
      </c>
      <c r="L51" t="str">
        <f>VLOOKUP(B51,players!A:B,2)</f>
        <v>Deandre Ayton</v>
      </c>
    </row>
    <row r="52" spans="1:12" x14ac:dyDescent="0.25">
      <c r="A52">
        <v>4</v>
      </c>
      <c r="B52">
        <v>57</v>
      </c>
      <c r="C52">
        <v>6</v>
      </c>
      <c r="D52">
        <v>5000000</v>
      </c>
      <c r="F52">
        <v>5000000</v>
      </c>
      <c r="L52" t="str">
        <f>VLOOKUP(B52,players!A:B,2)</f>
        <v>Nic Claxton</v>
      </c>
    </row>
    <row r="53" spans="1:12" x14ac:dyDescent="0.25">
      <c r="A53">
        <v>4</v>
      </c>
      <c r="B53">
        <v>16</v>
      </c>
      <c r="C53">
        <v>7</v>
      </c>
      <c r="D53">
        <v>17000000</v>
      </c>
      <c r="F53">
        <v>17000000</v>
      </c>
      <c r="L53" t="str">
        <f>VLOOKUP(B53,players!A:B,2)</f>
        <v>Bam Adebayo</v>
      </c>
    </row>
    <row r="54" spans="1:12" x14ac:dyDescent="0.25">
      <c r="A54">
        <v>4</v>
      </c>
      <c r="B54">
        <v>53</v>
      </c>
      <c r="C54">
        <v>8</v>
      </c>
      <c r="D54">
        <v>22500000</v>
      </c>
      <c r="L54" t="str">
        <f>VLOOKUP(B54,players!A:B,2)</f>
        <v>Jaylen Brown</v>
      </c>
    </row>
    <row r="55" spans="1:12" x14ac:dyDescent="0.25">
      <c r="A55">
        <v>4</v>
      </c>
      <c r="B55">
        <v>110</v>
      </c>
      <c r="C55">
        <v>9</v>
      </c>
      <c r="D55">
        <v>5000000</v>
      </c>
      <c r="F55">
        <v>5500000</v>
      </c>
      <c r="G55" t="s">
        <v>596</v>
      </c>
      <c r="L55" t="str">
        <f>VLOOKUP(B55,players!A:B,2)</f>
        <v>Stephon Castle</v>
      </c>
    </row>
    <row r="56" spans="1:12" x14ac:dyDescent="0.25">
      <c r="A56">
        <v>4</v>
      </c>
      <c r="B56">
        <v>114</v>
      </c>
      <c r="C56">
        <v>10</v>
      </c>
      <c r="D56">
        <v>15000000</v>
      </c>
      <c r="F56">
        <v>15000000</v>
      </c>
      <c r="H56">
        <v>15000000</v>
      </c>
      <c r="L56" t="str">
        <f>VLOOKUP(B56,players!A:B,2)</f>
        <v>Franz Wagner</v>
      </c>
    </row>
    <row r="57" spans="1:12" x14ac:dyDescent="0.25">
      <c r="A57">
        <v>4</v>
      </c>
      <c r="B57">
        <v>157</v>
      </c>
      <c r="C57">
        <v>11</v>
      </c>
      <c r="D57">
        <v>19000000</v>
      </c>
      <c r="F57">
        <v>19000000</v>
      </c>
      <c r="H57">
        <v>19000000</v>
      </c>
      <c r="L57" t="str">
        <f>VLOOKUP(B57,players!A:B,2)</f>
        <v>Donovan Mitchell</v>
      </c>
    </row>
    <row r="58" spans="1:12" x14ac:dyDescent="0.25">
      <c r="A58">
        <v>4</v>
      </c>
      <c r="B58">
        <v>287</v>
      </c>
      <c r="C58">
        <v>12</v>
      </c>
      <c r="D58">
        <v>10000000</v>
      </c>
      <c r="L58" t="str">
        <f>VLOOKUP(B58,players!A:B,2)</f>
        <v>DeMar DeRozan</v>
      </c>
    </row>
    <row r="59" spans="1:12" x14ac:dyDescent="0.25">
      <c r="A59">
        <v>4</v>
      </c>
      <c r="B59">
        <v>422</v>
      </c>
      <c r="C59">
        <v>13</v>
      </c>
      <c r="D59">
        <v>4500000</v>
      </c>
      <c r="F59">
        <v>5000000</v>
      </c>
      <c r="H59">
        <v>5500000</v>
      </c>
      <c r="I59" t="s">
        <v>596</v>
      </c>
      <c r="J59">
        <v>6000000</v>
      </c>
      <c r="K59" t="s">
        <v>596</v>
      </c>
      <c r="L59" t="str">
        <f>VLOOKUP(B59,players!A:B,2)</f>
        <v>Kingston Flemings</v>
      </c>
    </row>
    <row r="60" spans="1:12" x14ac:dyDescent="0.25">
      <c r="A60">
        <v>4</v>
      </c>
      <c r="B60">
        <v>438</v>
      </c>
      <c r="C60">
        <v>14</v>
      </c>
      <c r="D60">
        <v>1000000</v>
      </c>
      <c r="F60">
        <v>1000000</v>
      </c>
      <c r="H60">
        <v>1000000</v>
      </c>
      <c r="I60" t="s">
        <v>596</v>
      </c>
      <c r="J60">
        <v>1000000</v>
      </c>
      <c r="K60" t="s">
        <v>596</v>
      </c>
      <c r="L60" t="str">
        <f>VLOOKUP(B60,players!A:B,2)</f>
        <v>Henry Veesaar</v>
      </c>
    </row>
    <row r="61" spans="1:12" x14ac:dyDescent="0.25">
      <c r="A61">
        <v>5</v>
      </c>
      <c r="B61">
        <v>262</v>
      </c>
      <c r="C61">
        <v>2</v>
      </c>
      <c r="D61">
        <v>3600000</v>
      </c>
      <c r="F61">
        <v>3800000</v>
      </c>
      <c r="G61" t="s">
        <v>596</v>
      </c>
      <c r="H61">
        <v>4100000</v>
      </c>
      <c r="I61" t="s">
        <v>596</v>
      </c>
      <c r="L61" t="str">
        <f>VLOOKUP(B61,players!A:B,2)</f>
        <v>Egor Dёmin</v>
      </c>
    </row>
    <row r="62" spans="1:12" x14ac:dyDescent="0.25">
      <c r="A62">
        <v>5</v>
      </c>
      <c r="B62">
        <v>274</v>
      </c>
      <c r="C62">
        <v>3</v>
      </c>
      <c r="D62">
        <v>1000000</v>
      </c>
      <c r="L62" t="str">
        <f>VLOOKUP(B62,players!A:B,2)</f>
        <v>Grayson Allen</v>
      </c>
    </row>
    <row r="63" spans="1:12" x14ac:dyDescent="0.25">
      <c r="A63">
        <v>5</v>
      </c>
      <c r="B63">
        <v>143</v>
      </c>
      <c r="C63">
        <v>4</v>
      </c>
      <c r="D63">
        <v>21000000</v>
      </c>
      <c r="F63">
        <v>21000000</v>
      </c>
      <c r="L63" t="str">
        <f>VLOOKUP(B63,players!A:B,2)</f>
        <v>James Harden</v>
      </c>
    </row>
    <row r="64" spans="1:12" x14ac:dyDescent="0.25">
      <c r="A64">
        <v>3</v>
      </c>
      <c r="B64">
        <v>131</v>
      </c>
      <c r="C64">
        <v>5</v>
      </c>
      <c r="D64">
        <v>1000000</v>
      </c>
      <c r="F64">
        <v>1000000</v>
      </c>
      <c r="L64" t="str">
        <f>VLOOKUP(B64,players!A:B,2)</f>
        <v>Isaiah Stewart</v>
      </c>
    </row>
    <row r="65" spans="1:12" x14ac:dyDescent="0.25">
      <c r="A65">
        <v>5</v>
      </c>
      <c r="B65">
        <v>139</v>
      </c>
      <c r="C65">
        <v>6</v>
      </c>
      <c r="D65">
        <v>1000000</v>
      </c>
      <c r="F65">
        <v>1000000</v>
      </c>
      <c r="G65" t="s">
        <v>596</v>
      </c>
      <c r="H65">
        <v>1000000</v>
      </c>
      <c r="I65" t="s">
        <v>596</v>
      </c>
      <c r="L65" t="str">
        <f>VLOOKUP(B65,players!A:B,2)</f>
        <v>Danny Wolf</v>
      </c>
    </row>
    <row r="66" spans="1:12" x14ac:dyDescent="0.25">
      <c r="A66">
        <v>5</v>
      </c>
      <c r="B66">
        <v>37</v>
      </c>
      <c r="C66">
        <v>7</v>
      </c>
      <c r="D66">
        <v>17000000</v>
      </c>
      <c r="F66">
        <v>17000000</v>
      </c>
      <c r="L66" t="str">
        <f>VLOOKUP(B66,players!A:B,2)</f>
        <v>Joel Embiid</v>
      </c>
    </row>
    <row r="67" spans="1:12" x14ac:dyDescent="0.25">
      <c r="A67">
        <v>5</v>
      </c>
      <c r="B67">
        <v>17</v>
      </c>
      <c r="C67">
        <v>8</v>
      </c>
      <c r="D67">
        <v>40000000</v>
      </c>
      <c r="F67">
        <v>40000000</v>
      </c>
      <c r="H67">
        <v>40000000</v>
      </c>
      <c r="L67" t="str">
        <f>VLOOKUP(B67,players!A:B,2)</f>
        <v>Giannis Antetokounmpo</v>
      </c>
    </row>
    <row r="68" spans="1:12" x14ac:dyDescent="0.25">
      <c r="A68">
        <v>5</v>
      </c>
      <c r="B68">
        <v>72</v>
      </c>
      <c r="C68">
        <v>9</v>
      </c>
      <c r="D68">
        <v>3100000</v>
      </c>
      <c r="F68">
        <v>3100000</v>
      </c>
      <c r="L68" t="str">
        <f>VLOOKUP(B68,players!A:B,2)</f>
        <v>Naz Reid</v>
      </c>
    </row>
    <row r="69" spans="1:12" x14ac:dyDescent="0.25">
      <c r="A69">
        <v>5</v>
      </c>
      <c r="B69">
        <v>227</v>
      </c>
      <c r="C69">
        <v>10</v>
      </c>
      <c r="D69">
        <v>1000000</v>
      </c>
      <c r="F69">
        <v>1000000</v>
      </c>
      <c r="L69" t="str">
        <f>VLOOKUP(B69,players!A:B,2)</f>
        <v>Jerami Grant</v>
      </c>
    </row>
    <row r="70" spans="1:12" x14ac:dyDescent="0.25">
      <c r="A70">
        <v>5</v>
      </c>
      <c r="B70">
        <v>48</v>
      </c>
      <c r="C70">
        <v>11</v>
      </c>
      <c r="D70">
        <v>15500000</v>
      </c>
      <c r="F70">
        <v>15500000</v>
      </c>
      <c r="H70">
        <v>15500000</v>
      </c>
      <c r="J70">
        <v>15500000</v>
      </c>
      <c r="L70" t="str">
        <f>VLOOKUP(B70,players!A:B,2)</f>
        <v>Michael Porter Jr.</v>
      </c>
    </row>
    <row r="71" spans="1:12" x14ac:dyDescent="0.25">
      <c r="A71">
        <v>5</v>
      </c>
      <c r="B71">
        <v>152</v>
      </c>
      <c r="C71">
        <v>12</v>
      </c>
      <c r="D71">
        <v>2000000</v>
      </c>
      <c r="L71" t="str">
        <f>VLOOKUP(B71,players!A:B,2)</f>
        <v>Ryan Rollins</v>
      </c>
    </row>
    <row r="72" spans="1:12" x14ac:dyDescent="0.25">
      <c r="A72">
        <v>5</v>
      </c>
      <c r="B72">
        <v>418</v>
      </c>
      <c r="C72">
        <v>13</v>
      </c>
      <c r="D72">
        <v>8000000</v>
      </c>
      <c r="F72">
        <v>8500000</v>
      </c>
      <c r="H72">
        <v>9250000</v>
      </c>
      <c r="I72" t="s">
        <v>596</v>
      </c>
      <c r="J72">
        <v>10000000</v>
      </c>
      <c r="K72" t="s">
        <v>596</v>
      </c>
      <c r="L72" t="str">
        <f>VLOOKUP(B72,players!A:B,2)</f>
        <v>Caleb Wilson</v>
      </c>
    </row>
    <row r="73" spans="1:12" x14ac:dyDescent="0.25">
      <c r="A73">
        <v>5</v>
      </c>
      <c r="B73">
        <v>429</v>
      </c>
      <c r="C73">
        <v>14</v>
      </c>
      <c r="D73">
        <v>2800000</v>
      </c>
      <c r="F73">
        <v>3000000</v>
      </c>
      <c r="H73">
        <v>3200000</v>
      </c>
      <c r="I73" t="s">
        <v>596</v>
      </c>
      <c r="J73">
        <v>3500000</v>
      </c>
      <c r="K73" t="s">
        <v>596</v>
      </c>
      <c r="L73" t="str">
        <f>VLOOKUP(B73,players!A:B,2)</f>
        <v>Yaxel Lendeborg</v>
      </c>
    </row>
    <row r="74" spans="1:12" x14ac:dyDescent="0.25">
      <c r="A74">
        <v>6</v>
      </c>
      <c r="B74">
        <v>162</v>
      </c>
      <c r="C74">
        <v>1</v>
      </c>
      <c r="D74">
        <v>6000000</v>
      </c>
      <c r="F74">
        <v>6000000</v>
      </c>
      <c r="L74" t="str">
        <f>VLOOKUP(B74,players!A:B,2)</f>
        <v>Derrick White</v>
      </c>
    </row>
    <row r="75" spans="1:12" x14ac:dyDescent="0.25">
      <c r="A75">
        <v>6</v>
      </c>
      <c r="B75">
        <v>338</v>
      </c>
      <c r="C75">
        <v>2</v>
      </c>
      <c r="D75">
        <v>1000000</v>
      </c>
      <c r="L75" t="str">
        <f>VLOOKUP(B75,players!A:B,2)</f>
        <v>D'Angelo Russell</v>
      </c>
    </row>
    <row r="76" spans="1:12" x14ac:dyDescent="0.25">
      <c r="A76">
        <v>6</v>
      </c>
      <c r="B76">
        <v>45</v>
      </c>
      <c r="C76">
        <v>3</v>
      </c>
      <c r="D76">
        <v>8000000</v>
      </c>
      <c r="F76">
        <v>8000000</v>
      </c>
      <c r="H76">
        <v>8000000</v>
      </c>
      <c r="L76" t="str">
        <f>VLOOKUP(B76,players!A:B,2)</f>
        <v>Josh Hart</v>
      </c>
    </row>
    <row r="77" spans="1:12" x14ac:dyDescent="0.25">
      <c r="A77">
        <v>6</v>
      </c>
      <c r="B77">
        <v>122</v>
      </c>
      <c r="C77">
        <v>4</v>
      </c>
      <c r="D77">
        <v>1000000</v>
      </c>
      <c r="F77">
        <v>1000000</v>
      </c>
      <c r="L77" t="str">
        <f>VLOOKUP(B77,players!A:B,2)</f>
        <v>Tobias Harris</v>
      </c>
    </row>
    <row r="78" spans="1:12" x14ac:dyDescent="0.25">
      <c r="A78">
        <v>6</v>
      </c>
      <c r="B78">
        <v>98</v>
      </c>
      <c r="C78">
        <v>5</v>
      </c>
      <c r="D78">
        <v>1000000</v>
      </c>
      <c r="L78" t="str">
        <f>VLOOKUP(B78,players!A:B,2)</f>
        <v>Draymond Green</v>
      </c>
    </row>
    <row r="79" spans="1:12" x14ac:dyDescent="0.25">
      <c r="A79">
        <v>6</v>
      </c>
      <c r="B79">
        <v>13</v>
      </c>
      <c r="C79">
        <v>6</v>
      </c>
      <c r="D79">
        <v>3000000</v>
      </c>
      <c r="F79">
        <v>3000000</v>
      </c>
      <c r="L79" t="str">
        <f>VLOOKUP(B79,players!A:B,2)</f>
        <v>Jusuf Nurkić</v>
      </c>
    </row>
    <row r="80" spans="1:12" x14ac:dyDescent="0.25">
      <c r="A80">
        <v>6</v>
      </c>
      <c r="B80">
        <v>1</v>
      </c>
      <c r="C80">
        <v>7</v>
      </c>
      <c r="D80">
        <v>20000000</v>
      </c>
      <c r="L80" t="str">
        <f>VLOOKUP(B80,players!A:B,2)</f>
        <v>Nikola Jokić</v>
      </c>
    </row>
    <row r="81" spans="1:12" x14ac:dyDescent="0.25">
      <c r="A81">
        <v>6</v>
      </c>
      <c r="B81">
        <v>27</v>
      </c>
      <c r="C81">
        <v>8</v>
      </c>
      <c r="L81" t="str">
        <f>VLOOKUP(B81,players!A:B,2)</f>
        <v>Paolo Banchero</v>
      </c>
    </row>
    <row r="82" spans="1:12" x14ac:dyDescent="0.25">
      <c r="A82">
        <v>6</v>
      </c>
      <c r="B82">
        <v>77</v>
      </c>
      <c r="C82">
        <v>9</v>
      </c>
      <c r="D82">
        <v>7000000</v>
      </c>
      <c r="L82" t="str">
        <f>VLOOKUP(B82,players!A:B,2)</f>
        <v>Miles Bridges</v>
      </c>
    </row>
    <row r="83" spans="1:12" x14ac:dyDescent="0.25">
      <c r="A83">
        <v>6</v>
      </c>
      <c r="B83">
        <v>97</v>
      </c>
      <c r="C83">
        <v>10</v>
      </c>
      <c r="D83">
        <v>35000000</v>
      </c>
      <c r="F83">
        <v>35000000</v>
      </c>
      <c r="L83" t="str">
        <f>VLOOKUP(B83,players!A:B,2)</f>
        <v>Cade Cunningham</v>
      </c>
    </row>
    <row r="84" spans="1:12" x14ac:dyDescent="0.25">
      <c r="A84">
        <v>6</v>
      </c>
      <c r="B84">
        <v>56</v>
      </c>
      <c r="C84">
        <v>11</v>
      </c>
      <c r="D84">
        <v>3100000</v>
      </c>
      <c r="F84">
        <v>3100000</v>
      </c>
      <c r="L84" t="str">
        <f>VLOOKUP(B84,players!A:B,2)</f>
        <v>Jabari Smith Jr.</v>
      </c>
    </row>
    <row r="85" spans="1:12" x14ac:dyDescent="0.25">
      <c r="A85">
        <v>6</v>
      </c>
      <c r="B85">
        <v>211</v>
      </c>
      <c r="C85">
        <v>12</v>
      </c>
      <c r="D85">
        <v>1000000</v>
      </c>
      <c r="L85" t="str">
        <f>VLOOKUP(B85,players!A:B,2)</f>
        <v>Keyonte George</v>
      </c>
    </row>
    <row r="86" spans="1:12" x14ac:dyDescent="0.25">
      <c r="A86">
        <v>6</v>
      </c>
      <c r="B86">
        <v>161</v>
      </c>
      <c r="C86">
        <v>13</v>
      </c>
      <c r="D86">
        <v>6500000</v>
      </c>
      <c r="F86">
        <v>6500000</v>
      </c>
      <c r="L86" t="str">
        <f>VLOOKUP(B86,players!A:B,2)</f>
        <v>Damian Lillard</v>
      </c>
    </row>
    <row r="87" spans="1:12" x14ac:dyDescent="0.25">
      <c r="A87">
        <v>5</v>
      </c>
      <c r="B87">
        <v>71</v>
      </c>
      <c r="C87">
        <v>15</v>
      </c>
      <c r="D87">
        <v>1000000</v>
      </c>
      <c r="F87">
        <v>1000000</v>
      </c>
      <c r="L87" t="str">
        <f>VLOOKUP(B87,players!A:B,2)</f>
        <v>Tari Eason</v>
      </c>
    </row>
    <row r="88" spans="1:12" x14ac:dyDescent="0.25">
      <c r="A88">
        <v>1</v>
      </c>
      <c r="B88">
        <v>420</v>
      </c>
      <c r="C88">
        <v>13</v>
      </c>
      <c r="D88">
        <v>6000000</v>
      </c>
      <c r="F88">
        <v>6500000</v>
      </c>
      <c r="H88">
        <v>7000000</v>
      </c>
      <c r="I88" t="s">
        <v>596</v>
      </c>
      <c r="J88">
        <v>7500000</v>
      </c>
      <c r="K88" t="s">
        <v>596</v>
      </c>
      <c r="L88" t="str">
        <f>VLOOKUP(B88,players!A:B,2)</f>
        <v>Darryn Peterson</v>
      </c>
    </row>
    <row r="89" spans="1:12" x14ac:dyDescent="0.25">
      <c r="A89">
        <v>8</v>
      </c>
      <c r="B89">
        <v>242</v>
      </c>
      <c r="C89">
        <v>1</v>
      </c>
      <c r="D89">
        <v>3800000</v>
      </c>
      <c r="F89">
        <v>4100000</v>
      </c>
      <c r="G89" t="s">
        <v>596</v>
      </c>
      <c r="L89" t="str">
        <f>VLOOKUP(B89,players!A:B,2)</f>
        <v>Bub Carrington</v>
      </c>
    </row>
    <row r="90" spans="1:12" x14ac:dyDescent="0.25">
      <c r="A90">
        <v>8</v>
      </c>
      <c r="B90">
        <v>154</v>
      </c>
      <c r="C90">
        <v>2</v>
      </c>
      <c r="D90">
        <v>1000000</v>
      </c>
      <c r="L90" t="str">
        <f>VLOOKUP(B90,players!A:B,2)</f>
        <v>Jrue Holiday</v>
      </c>
    </row>
    <row r="91" spans="1:12" x14ac:dyDescent="0.25">
      <c r="A91">
        <v>8</v>
      </c>
      <c r="B91">
        <v>76</v>
      </c>
      <c r="C91">
        <v>3</v>
      </c>
      <c r="D91">
        <v>1000000</v>
      </c>
      <c r="F91">
        <v>1000000</v>
      </c>
      <c r="G91" t="s">
        <v>596</v>
      </c>
      <c r="H91">
        <v>1000000</v>
      </c>
      <c r="I91" t="s">
        <v>596</v>
      </c>
      <c r="L91" t="str">
        <f>VLOOKUP(B91,players!A:B,2)</f>
        <v>Cedric Coward</v>
      </c>
    </row>
    <row r="92" spans="1:12" x14ac:dyDescent="0.25">
      <c r="A92">
        <v>8</v>
      </c>
      <c r="B92">
        <v>79</v>
      </c>
      <c r="C92">
        <v>4</v>
      </c>
      <c r="D92">
        <v>2000000</v>
      </c>
      <c r="L92" t="str">
        <f>VLOOKUP(B92,players!A:B,2)</f>
        <v>Aaron Gordon</v>
      </c>
    </row>
    <row r="93" spans="1:12" x14ac:dyDescent="0.25">
      <c r="A93">
        <v>8</v>
      </c>
      <c r="B93">
        <v>116</v>
      </c>
      <c r="C93">
        <v>5</v>
      </c>
      <c r="D93">
        <v>6000000</v>
      </c>
      <c r="F93">
        <v>6000000</v>
      </c>
      <c r="H93">
        <v>6000000</v>
      </c>
      <c r="L93" t="str">
        <f>VLOOKUP(B93,players!A:B,2)</f>
        <v>Kristaps Porziņģis</v>
      </c>
    </row>
    <row r="94" spans="1:12" x14ac:dyDescent="0.25">
      <c r="A94">
        <v>8</v>
      </c>
      <c r="B94">
        <v>3</v>
      </c>
      <c r="C94">
        <v>6</v>
      </c>
      <c r="D94">
        <v>7000000</v>
      </c>
      <c r="F94">
        <v>7500000</v>
      </c>
      <c r="G94" t="s">
        <v>596</v>
      </c>
      <c r="L94" t="str">
        <f>VLOOKUP(B94,players!A:B,2)</f>
        <v>Donovan Clingan</v>
      </c>
    </row>
    <row r="95" spans="1:12" x14ac:dyDescent="0.25">
      <c r="A95">
        <v>8</v>
      </c>
      <c r="B95">
        <v>5</v>
      </c>
      <c r="C95">
        <v>7</v>
      </c>
      <c r="D95">
        <v>4000000</v>
      </c>
      <c r="F95">
        <v>4000000</v>
      </c>
      <c r="L95" t="str">
        <f>VLOOKUP(B95,players!A:B,2)</f>
        <v>Rudy Gobert</v>
      </c>
    </row>
    <row r="96" spans="1:12" x14ac:dyDescent="0.25">
      <c r="A96">
        <v>8</v>
      </c>
      <c r="B96">
        <v>14</v>
      </c>
      <c r="C96">
        <v>8</v>
      </c>
      <c r="D96">
        <v>16000000</v>
      </c>
      <c r="F96">
        <v>16000000</v>
      </c>
      <c r="H96">
        <v>16000000</v>
      </c>
      <c r="L96" t="str">
        <f>VLOOKUP(B96,players!A:B,2)</f>
        <v>Jalen Johnson</v>
      </c>
    </row>
    <row r="97" spans="1:12" x14ac:dyDescent="0.25">
      <c r="A97">
        <v>8</v>
      </c>
      <c r="B97">
        <v>83</v>
      </c>
      <c r="C97">
        <v>9</v>
      </c>
      <c r="D97">
        <v>9000000</v>
      </c>
      <c r="F97">
        <v>9000000</v>
      </c>
      <c r="L97" t="str">
        <f>VLOOKUP(B97,players!A:B,2)</f>
        <v>Trey Murphy III</v>
      </c>
    </row>
    <row r="98" spans="1:12" x14ac:dyDescent="0.25">
      <c r="A98">
        <v>8</v>
      </c>
      <c r="B98">
        <v>84</v>
      </c>
      <c r="C98">
        <v>10</v>
      </c>
      <c r="D98">
        <v>16000000</v>
      </c>
      <c r="L98" t="str">
        <f>VLOOKUP(B98,players!A:B,2)</f>
        <v>Zion Williamson</v>
      </c>
    </row>
    <row r="99" spans="1:12" x14ac:dyDescent="0.25">
      <c r="A99">
        <v>8</v>
      </c>
      <c r="B99">
        <v>203</v>
      </c>
      <c r="C99">
        <v>11</v>
      </c>
      <c r="D99">
        <v>19000000</v>
      </c>
      <c r="F99">
        <v>19000000</v>
      </c>
      <c r="H99">
        <v>19000000</v>
      </c>
      <c r="L99" t="str">
        <f>VLOOKUP(B99,players!A:B,2)</f>
        <v>De'Aaron Fox</v>
      </c>
    </row>
    <row r="100" spans="1:12" x14ac:dyDescent="0.25">
      <c r="A100">
        <v>3</v>
      </c>
      <c r="B100">
        <v>225</v>
      </c>
      <c r="C100">
        <v>12</v>
      </c>
      <c r="D100">
        <v>3000000</v>
      </c>
      <c r="F100">
        <v>3000000</v>
      </c>
      <c r="L100" t="str">
        <f>VLOOKUP(B100,players!A:B,2)</f>
        <v>Norman Powell</v>
      </c>
    </row>
    <row r="101" spans="1:12" x14ac:dyDescent="0.25">
      <c r="A101">
        <v>7</v>
      </c>
      <c r="B101">
        <v>59</v>
      </c>
      <c r="C101">
        <v>13</v>
      </c>
      <c r="D101">
        <v>16500000</v>
      </c>
      <c r="F101">
        <v>16500000</v>
      </c>
      <c r="H101">
        <v>16500000</v>
      </c>
      <c r="L101" t="str">
        <f>VLOOKUP(B101,players!A:B,2)</f>
        <v>Dyson Daniels</v>
      </c>
    </row>
    <row r="102" spans="1:12" x14ac:dyDescent="0.25">
      <c r="A102">
        <v>13</v>
      </c>
      <c r="B102">
        <v>336</v>
      </c>
      <c r="C102">
        <v>14</v>
      </c>
      <c r="D102">
        <v>1000000</v>
      </c>
      <c r="F102">
        <v>1000000</v>
      </c>
      <c r="L102" t="str">
        <f>VLOOKUP(B102,players!A:B,2)</f>
        <v>Collin Sexton</v>
      </c>
    </row>
    <row r="103" spans="1:12" x14ac:dyDescent="0.25">
      <c r="A103">
        <v>8</v>
      </c>
      <c r="B103">
        <v>428</v>
      </c>
      <c r="C103">
        <v>15</v>
      </c>
      <c r="D103">
        <v>3000000</v>
      </c>
      <c r="F103">
        <v>3200000</v>
      </c>
      <c r="H103">
        <v>3400000</v>
      </c>
      <c r="I103" t="s">
        <v>596</v>
      </c>
      <c r="J103">
        <v>3700000</v>
      </c>
      <c r="K103" t="s">
        <v>596</v>
      </c>
      <c r="L103" t="str">
        <f>VLOOKUP(B103,players!A:B,2)</f>
        <v>Aday Mara</v>
      </c>
    </row>
    <row r="104" spans="1:12" x14ac:dyDescent="0.25">
      <c r="A104">
        <v>8</v>
      </c>
      <c r="B104">
        <v>441</v>
      </c>
      <c r="C104">
        <v>16</v>
      </c>
      <c r="D104">
        <v>1000000</v>
      </c>
      <c r="F104">
        <v>1000000</v>
      </c>
      <c r="H104">
        <v>1000000</v>
      </c>
      <c r="I104" t="s">
        <v>596</v>
      </c>
      <c r="J104">
        <v>1000000</v>
      </c>
      <c r="K104" t="s">
        <v>596</v>
      </c>
      <c r="L104" t="str">
        <f>VLOOKUP(B104,players!A:B,2)</f>
        <v>Bennett Stirtz</v>
      </c>
    </row>
    <row r="105" spans="1:12" x14ac:dyDescent="0.25">
      <c r="A105">
        <v>8</v>
      </c>
      <c r="B105">
        <v>442</v>
      </c>
      <c r="C105">
        <v>17</v>
      </c>
      <c r="D105">
        <v>1000000</v>
      </c>
      <c r="F105">
        <v>1000000</v>
      </c>
      <c r="H105">
        <v>1000000</v>
      </c>
      <c r="I105" t="s">
        <v>596</v>
      </c>
      <c r="J105">
        <v>1000000</v>
      </c>
      <c r="K105" t="s">
        <v>596</v>
      </c>
      <c r="L105" t="str">
        <f>VLOOKUP(B105,players!A:B,2)</f>
        <v>Chris Cenac Jr.</v>
      </c>
    </row>
    <row r="106" spans="1:12" x14ac:dyDescent="0.25">
      <c r="A106">
        <v>9</v>
      </c>
      <c r="B106">
        <v>384</v>
      </c>
      <c r="C106">
        <v>1</v>
      </c>
      <c r="D106">
        <v>3100000</v>
      </c>
      <c r="F106">
        <v>3100000</v>
      </c>
      <c r="H106">
        <v>3100000</v>
      </c>
      <c r="L106" t="str">
        <f>VLOOKUP(B106,players!A:B,2)</f>
        <v>Cam Thomas</v>
      </c>
    </row>
    <row r="107" spans="1:12" x14ac:dyDescent="0.25">
      <c r="A107">
        <v>7</v>
      </c>
      <c r="B107">
        <v>240</v>
      </c>
      <c r="C107">
        <v>2</v>
      </c>
      <c r="D107">
        <v>1000000</v>
      </c>
      <c r="F107">
        <v>1000000</v>
      </c>
      <c r="L107" t="str">
        <f>VLOOKUP(B107,players!A:B,2)</f>
        <v>Ayo Dosunmu</v>
      </c>
    </row>
    <row r="108" spans="1:12" x14ac:dyDescent="0.25">
      <c r="A108">
        <v>9</v>
      </c>
      <c r="B108">
        <v>186</v>
      </c>
      <c r="C108">
        <v>3</v>
      </c>
      <c r="D108">
        <v>4500000</v>
      </c>
      <c r="L108" t="str">
        <f>VLOOKUP(B108,players!A:B,2)</f>
        <v>Devin Vassell</v>
      </c>
    </row>
    <row r="109" spans="1:12" x14ac:dyDescent="0.25">
      <c r="A109">
        <v>3</v>
      </c>
      <c r="B109">
        <v>251</v>
      </c>
      <c r="C109">
        <v>4</v>
      </c>
      <c r="D109">
        <v>1000000</v>
      </c>
      <c r="L109" t="str">
        <f>VLOOKUP(B109,players!A:B,2)</f>
        <v>Rui Hachimura</v>
      </c>
    </row>
    <row r="110" spans="1:12" x14ac:dyDescent="0.25">
      <c r="A110">
        <v>9</v>
      </c>
      <c r="B110">
        <v>170</v>
      </c>
      <c r="C110">
        <v>6</v>
      </c>
      <c r="D110">
        <v>3100000</v>
      </c>
      <c r="F110">
        <v>3100000</v>
      </c>
      <c r="H110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>
        <v>32000000</v>
      </c>
      <c r="F111">
        <v>32000000</v>
      </c>
      <c r="H111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>
        <v>12500000</v>
      </c>
      <c r="F112">
        <v>12500000</v>
      </c>
      <c r="H11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>
        <v>3100000</v>
      </c>
      <c r="F114">
        <v>3100000</v>
      </c>
      <c r="H114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>
        <v>12000000</v>
      </c>
      <c r="F116">
        <v>12000000</v>
      </c>
      <c r="H116">
        <v>12000000</v>
      </c>
      <c r="L116" t="str">
        <f>VLOOKUP(B116,players!A:B,2)</f>
        <v>Darius Garland</v>
      </c>
    </row>
    <row r="117" spans="1:12" x14ac:dyDescent="0.25">
      <c r="A117">
        <v>9</v>
      </c>
      <c r="B117">
        <v>433</v>
      </c>
      <c r="C117">
        <v>13</v>
      </c>
      <c r="D117">
        <v>1000000</v>
      </c>
      <c r="F117">
        <v>1000000</v>
      </c>
      <c r="H117">
        <v>1000000</v>
      </c>
      <c r="I117" t="s">
        <v>596</v>
      </c>
      <c r="J117">
        <v>1000000</v>
      </c>
      <c r="K117" t="s">
        <v>596</v>
      </c>
      <c r="L117" t="str">
        <f>VLOOKUP(B117,players!A:B,2)</f>
        <v>Ebuka Okorie</v>
      </c>
    </row>
    <row r="118" spans="1:12" x14ac:dyDescent="0.25">
      <c r="A118">
        <v>10</v>
      </c>
      <c r="B118">
        <v>9</v>
      </c>
      <c r="C118">
        <v>1</v>
      </c>
      <c r="D118">
        <v>12000000</v>
      </c>
      <c r="F118">
        <v>12000000</v>
      </c>
      <c r="H118">
        <v>12000000</v>
      </c>
      <c r="J118">
        <v>12000000</v>
      </c>
      <c r="L118" t="str">
        <f>VLOOKUP(B118,players!A:B,2)</f>
        <v>Walker Kessler</v>
      </c>
    </row>
    <row r="119" spans="1:12" x14ac:dyDescent="0.25">
      <c r="A119">
        <v>10</v>
      </c>
      <c r="B119">
        <v>373</v>
      </c>
      <c r="C119">
        <v>2</v>
      </c>
      <c r="D119">
        <v>1000000</v>
      </c>
      <c r="L119" t="str">
        <f>VLOOKUP(B119,players!A:B,2)</f>
        <v>Malik Monk</v>
      </c>
    </row>
    <row r="120" spans="1:12" x14ac:dyDescent="0.25">
      <c r="A120">
        <v>10</v>
      </c>
      <c r="B120">
        <v>249</v>
      </c>
      <c r="C120">
        <v>3</v>
      </c>
      <c r="D120">
        <v>2000000</v>
      </c>
      <c r="F120">
        <v>2000000</v>
      </c>
      <c r="L120" t="str">
        <f>VLOOKUP(B120,players!A:B,2)</f>
        <v>Ajay Mitchell</v>
      </c>
    </row>
    <row r="121" spans="1:12" x14ac:dyDescent="0.25">
      <c r="A121">
        <v>10</v>
      </c>
      <c r="B121">
        <v>169</v>
      </c>
      <c r="C121">
        <v>4</v>
      </c>
      <c r="D121">
        <v>4100000</v>
      </c>
      <c r="L121" t="str">
        <f>VLOOKUP(B121,players!A:B,2)</f>
        <v>Bilal Coulibaly</v>
      </c>
    </row>
    <row r="122" spans="1:12" x14ac:dyDescent="0.25">
      <c r="A122">
        <v>10</v>
      </c>
      <c r="B122">
        <v>34</v>
      </c>
      <c r="C122">
        <v>5</v>
      </c>
      <c r="D122">
        <v>6000000</v>
      </c>
      <c r="F122">
        <v>6000000</v>
      </c>
      <c r="L122" t="str">
        <f>VLOOKUP(B122,players!A:B,2)</f>
        <v>Mark Williams</v>
      </c>
    </row>
    <row r="123" spans="1:12" x14ac:dyDescent="0.25">
      <c r="A123">
        <v>10</v>
      </c>
      <c r="B123">
        <v>168</v>
      </c>
      <c r="C123">
        <v>6</v>
      </c>
      <c r="D123">
        <v>1000000</v>
      </c>
      <c r="L123" t="str">
        <f>VLOOKUP(B123,players!A:B,2)</f>
        <v>GG Jackson II</v>
      </c>
    </row>
    <row r="124" spans="1:12" x14ac:dyDescent="0.25">
      <c r="A124">
        <v>10</v>
      </c>
      <c r="B124">
        <v>28</v>
      </c>
      <c r="C124">
        <v>7</v>
      </c>
      <c r="D124">
        <v>1000000</v>
      </c>
      <c r="L124" t="str">
        <f>VLOOKUP(B124,players!A:B,2)</f>
        <v>Nikola Vučević</v>
      </c>
    </row>
    <row r="125" spans="1:12" x14ac:dyDescent="0.25">
      <c r="A125">
        <v>10</v>
      </c>
      <c r="B125">
        <v>44</v>
      </c>
      <c r="C125">
        <v>8</v>
      </c>
      <c r="D125">
        <v>9250000</v>
      </c>
      <c r="F125">
        <v>10000000</v>
      </c>
      <c r="G125" t="s">
        <v>596</v>
      </c>
      <c r="L125" t="str">
        <f>VLOOKUP(B125,players!A:B,2)</f>
        <v>Alex Sarr</v>
      </c>
    </row>
    <row r="126" spans="1:12" x14ac:dyDescent="0.25">
      <c r="A126">
        <v>10</v>
      </c>
      <c r="B126">
        <v>60</v>
      </c>
      <c r="C126">
        <v>9</v>
      </c>
      <c r="D126">
        <v>15000000</v>
      </c>
      <c r="F126">
        <v>15000000</v>
      </c>
      <c r="H126">
        <v>15000000</v>
      </c>
      <c r="L126" t="str">
        <f>VLOOKUP(B126,players!A:B,2)</f>
        <v>Julius Randle</v>
      </c>
    </row>
    <row r="127" spans="1:12" x14ac:dyDescent="0.25">
      <c r="A127">
        <v>10</v>
      </c>
      <c r="B127">
        <v>153</v>
      </c>
      <c r="C127">
        <v>10</v>
      </c>
      <c r="D127">
        <v>11000000</v>
      </c>
      <c r="F127">
        <v>11000000</v>
      </c>
      <c r="L127" t="str">
        <f>VLOOKUP(B127,players!A:B,2)</f>
        <v>Jalen Williams</v>
      </c>
    </row>
    <row r="128" spans="1:12" x14ac:dyDescent="0.25">
      <c r="A128">
        <v>10</v>
      </c>
      <c r="B128">
        <v>160</v>
      </c>
      <c r="C128">
        <v>11</v>
      </c>
      <c r="D128">
        <v>16000000</v>
      </c>
      <c r="F128">
        <v>16000000</v>
      </c>
      <c r="H128">
        <v>16000000</v>
      </c>
      <c r="L128" t="str">
        <f>VLOOKUP(B128,players!A:B,2)</f>
        <v>Jamal Murray</v>
      </c>
    </row>
    <row r="129" spans="1:12" x14ac:dyDescent="0.25">
      <c r="A129">
        <v>10</v>
      </c>
      <c r="B129">
        <v>246</v>
      </c>
      <c r="C129">
        <v>12</v>
      </c>
      <c r="D129">
        <v>24000000</v>
      </c>
      <c r="L129" t="str">
        <f>VLOOKUP(B129,players!A:B,2)</f>
        <v>Jalen Brunson</v>
      </c>
    </row>
    <row r="130" spans="1:12" x14ac:dyDescent="0.25">
      <c r="A130">
        <v>10</v>
      </c>
      <c r="B130">
        <v>443</v>
      </c>
      <c r="C130">
        <v>13</v>
      </c>
      <c r="D130">
        <v>1000000</v>
      </c>
      <c r="F130">
        <v>1000000</v>
      </c>
      <c r="H130">
        <v>1000000</v>
      </c>
      <c r="I130" t="s">
        <v>596</v>
      </c>
      <c r="J130">
        <v>1000000</v>
      </c>
      <c r="K130" t="s">
        <v>596</v>
      </c>
      <c r="L130" t="str">
        <f>VLOOKUP(B130,players!A:B,2)</f>
        <v>Zuby Ejiofor</v>
      </c>
    </row>
    <row r="131" spans="1:12" x14ac:dyDescent="0.25">
      <c r="A131">
        <v>11</v>
      </c>
      <c r="B131">
        <v>111</v>
      </c>
      <c r="C131">
        <v>3</v>
      </c>
      <c r="D131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D132">
        <v>1000000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</v>
      </c>
      <c r="C134">
        <v>7</v>
      </c>
      <c r="D134">
        <v>26000000</v>
      </c>
      <c r="L134" t="str">
        <f>VLOOKUP(B134,players!A:B,2)</f>
        <v>Domantas Sabonis</v>
      </c>
    </row>
    <row r="135" spans="1:12" x14ac:dyDescent="0.25">
      <c r="A135">
        <v>11</v>
      </c>
      <c r="B135">
        <v>177</v>
      </c>
      <c r="C135">
        <v>8</v>
      </c>
      <c r="D135">
        <v>15000000</v>
      </c>
      <c r="L135" t="str">
        <f>VLOOKUP(B135,players!A:B,2)</f>
        <v>Desmond Bane</v>
      </c>
    </row>
    <row r="136" spans="1:12" x14ac:dyDescent="0.25">
      <c r="A136">
        <v>11</v>
      </c>
      <c r="B136">
        <v>35</v>
      </c>
      <c r="C136">
        <v>9</v>
      </c>
      <c r="D136">
        <v>7500000</v>
      </c>
      <c r="L136" t="str">
        <f>VLOOKUP(B136,players!A:B,2)</f>
        <v>Amen Thompson</v>
      </c>
    </row>
    <row r="137" spans="1:12" x14ac:dyDescent="0.25">
      <c r="A137">
        <v>11</v>
      </c>
      <c r="B137">
        <v>166</v>
      </c>
      <c r="C137">
        <v>10</v>
      </c>
      <c r="D137">
        <v>30000000</v>
      </c>
      <c r="F137">
        <v>30000000</v>
      </c>
      <c r="H137">
        <v>30000000</v>
      </c>
      <c r="L137" t="str">
        <f>VLOOKUP(B137,players!A:B,2)</f>
        <v>Shai Gilgeous-Alexander</v>
      </c>
    </row>
    <row r="138" spans="1:12" x14ac:dyDescent="0.25">
      <c r="A138">
        <v>11</v>
      </c>
      <c r="B138">
        <v>248</v>
      </c>
      <c r="C138">
        <v>11</v>
      </c>
      <c r="D138">
        <v>1000000</v>
      </c>
      <c r="L138" t="str">
        <f>VLOOKUP(B138,players!A:B,2)</f>
        <v>CJ McCollum</v>
      </c>
    </row>
    <row r="139" spans="1:12" x14ac:dyDescent="0.25">
      <c r="A139">
        <v>6</v>
      </c>
      <c r="B139">
        <v>109</v>
      </c>
      <c r="C139">
        <v>12</v>
      </c>
      <c r="D139">
        <v>7000000</v>
      </c>
      <c r="F139">
        <v>7000000</v>
      </c>
      <c r="L139" t="str">
        <f>VLOOKUP(B139,players!A:B,2)</f>
        <v>Paul George</v>
      </c>
    </row>
    <row r="140" spans="1:12" x14ac:dyDescent="0.25">
      <c r="A140">
        <v>6</v>
      </c>
      <c r="B140">
        <v>195</v>
      </c>
      <c r="C140">
        <v>14</v>
      </c>
      <c r="D140">
        <v>6000000</v>
      </c>
      <c r="F140">
        <v>6000000</v>
      </c>
      <c r="H140">
        <v>6000000</v>
      </c>
      <c r="J140">
        <v>6000000</v>
      </c>
      <c r="L140" t="str">
        <f>VLOOKUP(B140,players!A:B,2)</f>
        <v>Payton Pritchard</v>
      </c>
    </row>
    <row r="141" spans="1:12" x14ac:dyDescent="0.25">
      <c r="A141">
        <v>11</v>
      </c>
      <c r="B141">
        <v>436</v>
      </c>
      <c r="C141">
        <v>15</v>
      </c>
      <c r="D141">
        <v>1000000</v>
      </c>
      <c r="F141">
        <v>1000000</v>
      </c>
      <c r="H141">
        <v>1000000</v>
      </c>
      <c r="I141" t="s">
        <v>596</v>
      </c>
      <c r="J141">
        <v>1000000</v>
      </c>
      <c r="K141" t="s">
        <v>596</v>
      </c>
      <c r="L141" t="str">
        <f>VLOOKUP(B141,players!A:B,2)</f>
        <v>Meleek Thomas</v>
      </c>
    </row>
    <row r="142" spans="1:12" x14ac:dyDescent="0.25">
      <c r="A142">
        <v>12</v>
      </c>
      <c r="B142">
        <v>403</v>
      </c>
      <c r="C142">
        <v>1</v>
      </c>
      <c r="D142">
        <v>5000000</v>
      </c>
      <c r="F142">
        <v>5000000</v>
      </c>
      <c r="L142" t="str">
        <f>VLOOKUP(B142,players!A:B,2)</f>
        <v>Bradley Beal</v>
      </c>
    </row>
    <row r="143" spans="1:12" x14ac:dyDescent="0.25">
      <c r="A143">
        <v>12</v>
      </c>
      <c r="B143">
        <v>345</v>
      </c>
      <c r="C143">
        <v>2</v>
      </c>
      <c r="D143">
        <v>3500000</v>
      </c>
      <c r="F143">
        <v>3500000</v>
      </c>
      <c r="L143" t="str">
        <f>VLOOKUP(B143,players!A:B,2)</f>
        <v>Buddy Hield</v>
      </c>
    </row>
    <row r="144" spans="1:12" x14ac:dyDescent="0.25">
      <c r="A144">
        <v>12</v>
      </c>
      <c r="B144">
        <v>120</v>
      </c>
      <c r="C144">
        <v>3</v>
      </c>
      <c r="D144">
        <v>1000000</v>
      </c>
      <c r="L144" t="str">
        <f>VLOOKUP(B144,players!A:B,2)</f>
        <v>Brandin Podziemski</v>
      </c>
    </row>
    <row r="145" spans="1:12" x14ac:dyDescent="0.25">
      <c r="A145">
        <v>12</v>
      </c>
      <c r="B145">
        <v>22</v>
      </c>
      <c r="C145">
        <v>4</v>
      </c>
      <c r="D145">
        <v>15000000</v>
      </c>
      <c r="F145">
        <v>15000000</v>
      </c>
      <c r="H145">
        <v>15000000</v>
      </c>
      <c r="L145" t="str">
        <f>VLOOKUP(B145,players!A:B,2)</f>
        <v>Chet Holmgren</v>
      </c>
    </row>
    <row r="146" spans="1:12" x14ac:dyDescent="0.25">
      <c r="A146">
        <v>12</v>
      </c>
      <c r="B146">
        <v>54</v>
      </c>
      <c r="C146">
        <v>5</v>
      </c>
      <c r="D146">
        <v>11000000</v>
      </c>
      <c r="L146" t="str">
        <f>VLOOKUP(B146,players!A:B,2)</f>
        <v>Lauri Markkanen</v>
      </c>
    </row>
    <row r="147" spans="1:12" x14ac:dyDescent="0.25">
      <c r="A147">
        <v>12</v>
      </c>
      <c r="B147">
        <v>194</v>
      </c>
      <c r="C147">
        <v>6</v>
      </c>
      <c r="D147">
        <v>20000000</v>
      </c>
      <c r="F147">
        <v>20000000</v>
      </c>
      <c r="L147" t="str">
        <f>VLOOKUP(B147,players!A:B,2)</f>
        <v>Devin Booker</v>
      </c>
    </row>
    <row r="148" spans="1:12" x14ac:dyDescent="0.25">
      <c r="A148">
        <v>12</v>
      </c>
      <c r="B148">
        <v>226</v>
      </c>
      <c r="C148">
        <v>7</v>
      </c>
      <c r="D148">
        <v>18000000</v>
      </c>
      <c r="F148">
        <v>18000000</v>
      </c>
      <c r="H148">
        <v>18000000</v>
      </c>
      <c r="L148" t="str">
        <f>VLOOKUP(B148,players!A:B,2)</f>
        <v>Tyrese Haliburton</v>
      </c>
    </row>
    <row r="149" spans="1:12" x14ac:dyDescent="0.25">
      <c r="A149">
        <v>12</v>
      </c>
      <c r="B149">
        <v>115</v>
      </c>
      <c r="C149">
        <v>8</v>
      </c>
      <c r="D149">
        <v>2500000</v>
      </c>
      <c r="L149" t="str">
        <f>VLOOKUP(B149,players!A:B,2)</f>
        <v>Kevin Porter Jr.</v>
      </c>
    </row>
    <row r="150" spans="1:12" x14ac:dyDescent="0.25">
      <c r="A150">
        <v>12</v>
      </c>
      <c r="B150">
        <v>417</v>
      </c>
      <c r="C150">
        <v>9</v>
      </c>
      <c r="D150">
        <v>9000000</v>
      </c>
      <c r="F150">
        <v>9500000</v>
      </c>
      <c r="H150">
        <v>10500000</v>
      </c>
      <c r="I150" t="s">
        <v>596</v>
      </c>
      <c r="J150">
        <v>11500000</v>
      </c>
      <c r="K150" t="s">
        <v>596</v>
      </c>
      <c r="L150" t="str">
        <f>VLOOKUP(B150,players!A:B,2)</f>
        <v>A.J. Dybantsa</v>
      </c>
    </row>
    <row r="151" spans="1:12" x14ac:dyDescent="0.25">
      <c r="A151">
        <v>12</v>
      </c>
      <c r="B151">
        <v>431</v>
      </c>
      <c r="C151">
        <v>10</v>
      </c>
      <c r="D151">
        <v>1000000</v>
      </c>
      <c r="F151">
        <v>1000000</v>
      </c>
      <c r="H151">
        <v>1000000</v>
      </c>
      <c r="I151" t="s">
        <v>596</v>
      </c>
      <c r="J151">
        <v>1000000</v>
      </c>
      <c r="K151" t="s">
        <v>596</v>
      </c>
      <c r="L151" t="str">
        <f>VLOOKUP(B151,players!A:B,2)</f>
        <v>Nate Ament</v>
      </c>
    </row>
    <row r="152" spans="1:12" x14ac:dyDescent="0.25">
      <c r="A152">
        <v>13</v>
      </c>
      <c r="B152">
        <v>307</v>
      </c>
      <c r="C152">
        <v>1</v>
      </c>
      <c r="D152">
        <v>1000000</v>
      </c>
      <c r="L152" t="str">
        <f>VLOOKUP(B152,players!A:B,2)</f>
        <v>Davion Mitchell</v>
      </c>
    </row>
    <row r="153" spans="1:12" x14ac:dyDescent="0.25">
      <c r="A153">
        <v>14</v>
      </c>
      <c r="B153">
        <v>363</v>
      </c>
      <c r="C153">
        <v>2</v>
      </c>
      <c r="D153">
        <v>1000000</v>
      </c>
      <c r="F153">
        <v>1000000</v>
      </c>
      <c r="L153" t="str">
        <f>VLOOKUP(B153,players!A:B,2)</f>
        <v>Jordan Poole</v>
      </c>
    </row>
    <row r="154" spans="1:12" x14ac:dyDescent="0.25">
      <c r="A154">
        <v>13</v>
      </c>
      <c r="B154">
        <v>296</v>
      </c>
      <c r="C154">
        <v>3</v>
      </c>
      <c r="D154">
        <v>3000000</v>
      </c>
      <c r="L154" t="str">
        <f>VLOOKUP(B154,players!A:B,2)</f>
        <v>Andrew Nembhard</v>
      </c>
    </row>
    <row r="155" spans="1:12" x14ac:dyDescent="0.25">
      <c r="A155">
        <v>13</v>
      </c>
      <c r="B155">
        <v>171</v>
      </c>
      <c r="C155">
        <v>4</v>
      </c>
      <c r="D155">
        <v>2000000</v>
      </c>
      <c r="L155" t="str">
        <f>VLOOKUP(B155,players!A:B,2)</f>
        <v>Aaron Nesmith</v>
      </c>
    </row>
    <row r="156" spans="1:12" x14ac:dyDescent="0.25">
      <c r="A156">
        <v>13</v>
      </c>
      <c r="B156">
        <v>10</v>
      </c>
      <c r="C156">
        <v>5</v>
      </c>
      <c r="D156">
        <v>7000000</v>
      </c>
      <c r="F156">
        <v>7000000</v>
      </c>
      <c r="L156" t="str">
        <f>VLOOKUP(B156,players!A:B,2)</f>
        <v>Ivica Zubac</v>
      </c>
    </row>
    <row r="157" spans="1:12" x14ac:dyDescent="0.25">
      <c r="A157">
        <v>11</v>
      </c>
      <c r="B157">
        <v>46</v>
      </c>
      <c r="C157">
        <v>6</v>
      </c>
      <c r="D157">
        <v>1000000</v>
      </c>
      <c r="F157">
        <v>1000000</v>
      </c>
      <c r="L157" t="str">
        <f>VLOOKUP(B157,players!A:B,2)</f>
        <v>Wendell Carter Jr.</v>
      </c>
    </row>
    <row r="158" spans="1:12" x14ac:dyDescent="0.25">
      <c r="A158">
        <v>13</v>
      </c>
      <c r="B158">
        <v>4</v>
      </c>
      <c r="C158">
        <v>7</v>
      </c>
      <c r="D158">
        <v>11500000</v>
      </c>
      <c r="L158" t="str">
        <f>VLOOKUP(B158,players!A:B,2)</f>
        <v>Victor Wembanyama</v>
      </c>
    </row>
    <row r="159" spans="1:12" x14ac:dyDescent="0.25">
      <c r="A159">
        <v>13</v>
      </c>
      <c r="B159">
        <v>32</v>
      </c>
      <c r="C159">
        <v>8</v>
      </c>
      <c r="D159">
        <v>16000000</v>
      </c>
      <c r="F159">
        <v>16000000</v>
      </c>
      <c r="H159">
        <v>16000000</v>
      </c>
      <c r="L159" t="str">
        <f>VLOOKUP(B159,players!A:B,2)</f>
        <v>Josh Giddey</v>
      </c>
    </row>
    <row r="160" spans="1:12" x14ac:dyDescent="0.25">
      <c r="A160">
        <v>13</v>
      </c>
      <c r="B160">
        <v>55</v>
      </c>
      <c r="C160">
        <v>9</v>
      </c>
      <c r="D160">
        <v>12000000</v>
      </c>
      <c r="F160">
        <v>12000000</v>
      </c>
      <c r="H160">
        <v>12000000</v>
      </c>
      <c r="L160" t="str">
        <f>VLOOKUP(B160,players!A:B,2)</f>
        <v>Deni Avdija</v>
      </c>
    </row>
    <row r="161" spans="1:12" x14ac:dyDescent="0.25">
      <c r="A161">
        <v>13</v>
      </c>
      <c r="B161">
        <v>66</v>
      </c>
      <c r="C161">
        <v>10</v>
      </c>
      <c r="D161">
        <v>19000000</v>
      </c>
      <c r="L161" t="str">
        <f>VLOOKUP(B161,players!A:B,2)</f>
        <v>Pascal Siakam</v>
      </c>
    </row>
    <row r="162" spans="1:12" x14ac:dyDescent="0.25">
      <c r="A162">
        <v>13</v>
      </c>
      <c r="B162">
        <v>150</v>
      </c>
      <c r="C162">
        <v>11</v>
      </c>
      <c r="D162">
        <v>6000000</v>
      </c>
      <c r="F162">
        <v>6000000</v>
      </c>
      <c r="H162">
        <v>6000000</v>
      </c>
      <c r="L162" t="str">
        <f>VLOOKUP(B162,players!A:B,2)</f>
        <v>Austin Reaves</v>
      </c>
    </row>
    <row r="163" spans="1:12" x14ac:dyDescent="0.25">
      <c r="A163">
        <v>3</v>
      </c>
      <c r="B163">
        <v>317</v>
      </c>
      <c r="C163">
        <v>1</v>
      </c>
      <c r="D163">
        <v>1000000</v>
      </c>
      <c r="F163">
        <v>1000000</v>
      </c>
      <c r="L163" t="str">
        <f>VLOOKUP(B163,players!A:B,2)</f>
        <v>Anfernee Simons</v>
      </c>
    </row>
    <row r="164" spans="1:12" x14ac:dyDescent="0.25">
      <c r="A164">
        <v>13</v>
      </c>
      <c r="B164">
        <v>129</v>
      </c>
      <c r="C164">
        <v>3</v>
      </c>
      <c r="D164">
        <v>6500000</v>
      </c>
      <c r="L164" t="str">
        <f>VLOOKUP(B164,players!A:B,2)</f>
        <v>Jaime Jaquez Jr.</v>
      </c>
    </row>
    <row r="165" spans="1:12" x14ac:dyDescent="0.25">
      <c r="A165">
        <v>3</v>
      </c>
      <c r="B165">
        <v>90</v>
      </c>
      <c r="C165">
        <v>4</v>
      </c>
      <c r="D165">
        <v>6000000</v>
      </c>
      <c r="F165">
        <v>6000000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>
        <v>20500000</v>
      </c>
      <c r="F168">
        <v>20500000</v>
      </c>
      <c r="H168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>
        <v>9500000</v>
      </c>
      <c r="F170">
        <v>10500000</v>
      </c>
      <c r="G170" t="s">
        <v>596</v>
      </c>
      <c r="H170">
        <v>11500000</v>
      </c>
      <c r="I170" t="s">
        <v>596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D171">
        <v>24500000</v>
      </c>
      <c r="F171">
        <v>24500000</v>
      </c>
      <c r="H171">
        <v>24500000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D172">
        <v>2000000</v>
      </c>
      <c r="F172">
        <v>2000000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>
        <v>20000000</v>
      </c>
      <c r="F173">
        <v>20000000</v>
      </c>
      <c r="H173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>
        <v>3200000</v>
      </c>
      <c r="F174">
        <v>3500000</v>
      </c>
      <c r="L174" t="str">
        <f>VLOOKUP(B174,players!A:B,2)</f>
        <v>Cason Wallace</v>
      </c>
    </row>
    <row r="175" spans="1:12" x14ac:dyDescent="0.25">
      <c r="A175">
        <v>13</v>
      </c>
      <c r="B175">
        <v>241</v>
      </c>
      <c r="C175">
        <v>3</v>
      </c>
      <c r="D175">
        <v>8500000</v>
      </c>
      <c r="F175">
        <v>9250000</v>
      </c>
      <c r="G175" t="s">
        <v>596</v>
      </c>
      <c r="H175">
        <v>10000000</v>
      </c>
      <c r="I175" t="s">
        <v>596</v>
      </c>
      <c r="L175" t="str">
        <f>VLOOKUP(B175,players!A:B,2)</f>
        <v>Dylan Harper</v>
      </c>
    </row>
    <row r="176" spans="1:12" x14ac:dyDescent="0.25">
      <c r="A176">
        <v>13</v>
      </c>
      <c r="B176">
        <v>121</v>
      </c>
      <c r="C176">
        <v>14</v>
      </c>
      <c r="D176">
        <v>3100000</v>
      </c>
      <c r="F176">
        <v>3100000</v>
      </c>
      <c r="H176">
        <v>3100000</v>
      </c>
      <c r="L176" t="str">
        <f>VLOOKUP(B176,players!A:B,2)</f>
        <v>Toumani Camara</v>
      </c>
    </row>
    <row r="177" spans="1:12" x14ac:dyDescent="0.25">
      <c r="A177">
        <v>7</v>
      </c>
      <c r="B177">
        <v>434</v>
      </c>
      <c r="C177">
        <v>15</v>
      </c>
      <c r="D177">
        <v>1000000</v>
      </c>
      <c r="F177">
        <v>1000000</v>
      </c>
      <c r="H177">
        <v>1000000</v>
      </c>
      <c r="I177" t="s">
        <v>596</v>
      </c>
      <c r="J177">
        <v>1000000</v>
      </c>
      <c r="K177" t="s">
        <v>596</v>
      </c>
      <c r="L177" t="str">
        <f>VLOOKUP(B177,players!A:B,2)</f>
        <v>Allen Graves</v>
      </c>
    </row>
    <row r="178" spans="1:12" x14ac:dyDescent="0.25">
      <c r="A178">
        <v>2</v>
      </c>
      <c r="B178">
        <v>107</v>
      </c>
      <c r="D178">
        <v>8500000</v>
      </c>
      <c r="F178">
        <v>8500000</v>
      </c>
      <c r="L178" t="str">
        <f>VLOOKUP(B178,players!A:B,2)</f>
        <v>RJ Barrett</v>
      </c>
    </row>
    <row r="179" spans="1:12" x14ac:dyDescent="0.25">
      <c r="A179">
        <v>3</v>
      </c>
      <c r="B179">
        <v>205</v>
      </c>
      <c r="C179">
        <v>16</v>
      </c>
      <c r="D179">
        <v>8500000</v>
      </c>
      <c r="F179">
        <v>8500000</v>
      </c>
      <c r="H179">
        <v>8500000</v>
      </c>
      <c r="L179" t="str">
        <f>VLOOKUP(B179,players!A:B,2)</f>
        <v>Mikal Bridges</v>
      </c>
    </row>
    <row r="180" spans="1:12" x14ac:dyDescent="0.25">
      <c r="A180">
        <v>8</v>
      </c>
      <c r="B180">
        <v>288</v>
      </c>
      <c r="D180">
        <v>3000000</v>
      </c>
      <c r="F180">
        <v>3000000</v>
      </c>
      <c r="H180">
        <v>3000000</v>
      </c>
      <c r="L180" t="str">
        <f>VLOOKUP(B180,players!A:B,2)</f>
        <v>Reed Sheppard</v>
      </c>
    </row>
    <row r="181" spans="1:12" x14ac:dyDescent="0.25">
      <c r="A181">
        <v>11</v>
      </c>
      <c r="B181">
        <v>158</v>
      </c>
      <c r="D181">
        <v>1000000</v>
      </c>
      <c r="L181" t="str">
        <f>VLOOKUP(B181,players!A:B,2)</f>
        <v>Kyle Kuzma</v>
      </c>
    </row>
    <row r="182" spans="1:12" x14ac:dyDescent="0.25">
      <c r="A182">
        <v>3</v>
      </c>
      <c r="B182">
        <v>207</v>
      </c>
      <c r="D182">
        <v>1000000</v>
      </c>
      <c r="F182">
        <v>1000000</v>
      </c>
      <c r="L182" t="str">
        <f>VLOOKUP(B182,players!A:B,2)</f>
        <v>Zaccharie Risacher</v>
      </c>
    </row>
    <row r="183" spans="1:12" x14ac:dyDescent="0.25">
      <c r="A183">
        <v>14</v>
      </c>
      <c r="B183">
        <v>303</v>
      </c>
      <c r="D183">
        <v>1000000</v>
      </c>
      <c r="F183">
        <v>1000000</v>
      </c>
      <c r="H183">
        <v>1000000</v>
      </c>
      <c r="L183" t="str">
        <f>VLOOKUP(B183,players!A:B,2)</f>
        <v>Scoot Henderson</v>
      </c>
    </row>
    <row r="184" spans="1:12" x14ac:dyDescent="0.25">
      <c r="A184">
        <v>1</v>
      </c>
      <c r="B184">
        <v>82</v>
      </c>
      <c r="D184">
        <v>1000000</v>
      </c>
      <c r="F184">
        <v>1000000</v>
      </c>
      <c r="H184">
        <v>1000000</v>
      </c>
      <c r="L184" t="str">
        <f>VLOOKUP(B184,players!A:B,2)</f>
        <v>Yves Missi</v>
      </c>
    </row>
    <row r="185" spans="1:12" x14ac:dyDescent="0.25">
      <c r="A185">
        <v>1</v>
      </c>
      <c r="B185">
        <v>215</v>
      </c>
      <c r="D185">
        <v>2000000</v>
      </c>
      <c r="F185">
        <v>2000000</v>
      </c>
      <c r="H185">
        <v>2000000</v>
      </c>
      <c r="L185" t="str">
        <f>VLOOKUP(B185,players!A:B,2)</f>
        <v>Taylor Hendricks</v>
      </c>
    </row>
    <row r="186" spans="1:12" x14ac:dyDescent="0.25">
      <c r="A186">
        <v>12</v>
      </c>
      <c r="B186">
        <v>41</v>
      </c>
      <c r="D186">
        <v>2000000</v>
      </c>
      <c r="F186">
        <v>2000000</v>
      </c>
      <c r="H186">
        <v>2000000</v>
      </c>
      <c r="L186" t="str">
        <f>VLOOKUP(B186,players!A:B,2)</f>
        <v>Maxime Raynaud</v>
      </c>
    </row>
    <row r="187" spans="1:12" x14ac:dyDescent="0.25">
      <c r="A187">
        <v>8</v>
      </c>
      <c r="B187">
        <v>93</v>
      </c>
      <c r="D187">
        <v>4000000</v>
      </c>
      <c r="F187">
        <v>4000000</v>
      </c>
      <c r="L187" t="str">
        <f>VLOOKUP(B187,players!A:B,2)</f>
        <v>Jonathan Kuminga</v>
      </c>
    </row>
    <row r="188" spans="1:12" x14ac:dyDescent="0.25">
      <c r="A188">
        <v>7</v>
      </c>
      <c r="B188">
        <v>294</v>
      </c>
      <c r="D188">
        <v>1000000</v>
      </c>
      <c r="F188">
        <v>1000000</v>
      </c>
      <c r="L188" t="str">
        <f>VLOOKUP(B188,players!A:B,2)</f>
        <v>Ty Jerome</v>
      </c>
    </row>
    <row r="189" spans="1:12" x14ac:dyDescent="0.25">
      <c r="A189">
        <v>14</v>
      </c>
      <c r="B189">
        <v>151</v>
      </c>
      <c r="D189">
        <v>1000000</v>
      </c>
      <c r="F189">
        <v>1000000</v>
      </c>
      <c r="H189">
        <v>1000000</v>
      </c>
      <c r="L189" t="str">
        <f>VLOOKUP(B189,players!A:B,2)</f>
        <v>Naji Marshall</v>
      </c>
    </row>
    <row r="190" spans="1:12" x14ac:dyDescent="0.25">
      <c r="A190">
        <v>12</v>
      </c>
      <c r="B190">
        <v>181</v>
      </c>
      <c r="D190">
        <v>1000000</v>
      </c>
      <c r="L190" t="str">
        <f>VLOOKUP(B190,players!A:B,2)</f>
        <v>Donte DiVincenzo</v>
      </c>
    </row>
    <row r="191" spans="1:12" x14ac:dyDescent="0.25">
      <c r="A191">
        <v>5</v>
      </c>
      <c r="B191">
        <v>445</v>
      </c>
      <c r="D191">
        <v>1000000</v>
      </c>
      <c r="F191">
        <v>1000000</v>
      </c>
      <c r="L191" t="str">
        <f>VLOOKUP(B191,players!A:B,2)</f>
        <v>Derek Lively</v>
      </c>
    </row>
    <row r="192" spans="1:12" x14ac:dyDescent="0.25">
      <c r="A192">
        <v>3</v>
      </c>
      <c r="B192">
        <v>52</v>
      </c>
      <c r="D192">
        <v>1000000</v>
      </c>
      <c r="L192" t="str">
        <f>VLOOKUP(B192,players!A:B,2)</f>
        <v>Robert Williams</v>
      </c>
    </row>
    <row r="193" spans="1:12" x14ac:dyDescent="0.25">
      <c r="A193">
        <v>13</v>
      </c>
      <c r="B193">
        <v>138</v>
      </c>
      <c r="D193">
        <v>1000000</v>
      </c>
      <c r="F193">
        <v>1000000</v>
      </c>
      <c r="L193" t="str">
        <f>VLOOKUP(B193,players!A:B,2)</f>
        <v>Sandro Mamukelashvili</v>
      </c>
    </row>
    <row r="194" spans="1:12" x14ac:dyDescent="0.25">
      <c r="A194">
        <v>14</v>
      </c>
      <c r="B194">
        <v>65</v>
      </c>
      <c r="D194">
        <v>1000000</v>
      </c>
      <c r="F194">
        <v>1000000</v>
      </c>
      <c r="H194">
        <v>1000000</v>
      </c>
      <c r="L194" t="str">
        <f>VLOOKUP(B194,players!A:B,2)</f>
        <v>Day'Ron Sharpe</v>
      </c>
    </row>
    <row r="195" spans="1:12" x14ac:dyDescent="0.25">
      <c r="A195">
        <v>2</v>
      </c>
      <c r="B195">
        <v>29</v>
      </c>
      <c r="D195">
        <v>1000000</v>
      </c>
      <c r="F195">
        <v>1000000</v>
      </c>
      <c r="L195" t="str">
        <f>VLOOKUP(B195,players!A:B,2)</f>
        <v>Neemias Queta</v>
      </c>
    </row>
    <row r="196" spans="1:12" x14ac:dyDescent="0.25">
      <c r="A196">
        <v>13</v>
      </c>
      <c r="B196">
        <v>179</v>
      </c>
      <c r="D196">
        <v>1000000</v>
      </c>
      <c r="F196">
        <v>1000000</v>
      </c>
      <c r="L196" t="str">
        <f>VLOOKUP(B196,players!A:B,2)</f>
        <v>Collin Gillespie</v>
      </c>
    </row>
    <row r="197" spans="1:12" x14ac:dyDescent="0.25">
      <c r="A197">
        <v>8</v>
      </c>
      <c r="B197">
        <v>91</v>
      </c>
      <c r="D197">
        <v>2000000</v>
      </c>
      <c r="F197">
        <v>2000000</v>
      </c>
      <c r="L197" t="str">
        <f>VLOOKUP(B197,players!A:B,2)</f>
        <v>Saddiq Bey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2026-08-19T15:08:40Z</dcterms:modified>
</cp:coreProperties>
</file>