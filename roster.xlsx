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73" documentId="13_ncr:1_{430BDD2D-160C-44D5-BB14-2292BAF4F531}" xr6:coauthVersionLast="47" xr6:coauthVersionMax="47" xr10:uidLastSave="{6237B9C0-4D38-4F99-8D99-ECB2CB384BEE}"/>
  <bookViews>
    <workbookView xWindow="-120" yWindow="-120" windowWidth="29040" windowHeight="16440" activeTab="6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2" i="3"/>
  <c r="L28" i="4"/>
  <c r="L144" i="4"/>
  <c r="L145" i="4"/>
  <c r="L126" i="4"/>
  <c r="L127" i="4"/>
  <c r="L128" i="4"/>
  <c r="L129" i="4"/>
  <c r="L130" i="4"/>
  <c r="L131" i="4"/>
  <c r="L107" i="4"/>
  <c r="L106" i="4"/>
  <c r="L91" i="4"/>
  <c r="L92" i="4"/>
  <c r="L93" i="4"/>
  <c r="L78" i="4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L53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9" i="4"/>
  <c r="L80" i="4"/>
  <c r="L81" i="4"/>
  <c r="L82" i="4"/>
  <c r="L83" i="4"/>
  <c r="L84" i="4"/>
  <c r="L85" i="4"/>
  <c r="L86" i="4"/>
  <c r="L87" i="4"/>
  <c r="L88" i="4"/>
  <c r="L89" i="4"/>
  <c r="L90" i="4"/>
  <c r="L94" i="4"/>
  <c r="L95" i="4"/>
  <c r="L96" i="4"/>
  <c r="L97" i="4"/>
  <c r="L98" i="4"/>
  <c r="L99" i="4"/>
  <c r="L100" i="4"/>
  <c r="L101" i="4"/>
  <c r="L102" i="4"/>
  <c r="L103" i="4"/>
  <c r="L104" i="4"/>
  <c r="L105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2" i="4"/>
</calcChain>
</file>

<file path=xl/sharedStrings.xml><?xml version="1.0" encoding="utf-8"?>
<sst xmlns="http://schemas.openxmlformats.org/spreadsheetml/2006/main" count="1100" uniqueCount="524">
  <si>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</si>
  <si>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</si>
  <si>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</si>
  <si>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</si>
  <si>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</si>
  <si>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</si>
  <si>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</si>
  <si>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</si>
  <si>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</si>
  <si>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</si>
  <si>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</si>
  <si>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</si>
  <si>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</si>
  <si>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</si>
  <si>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</si>
  <si>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</si>
  <si>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</si>
  <si>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</si>
  <si>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</si>
  <si>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</si>
  <si>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</si>
  <si>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</si>
  <si>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</si>
  <si>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</si>
  <si>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</si>
  <si>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</si>
  <si>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</si>
  <si>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</si>
  <si>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</si>
  <si>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</si>
  <si>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</si>
  <si>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</si>
  <si>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</si>
  <si>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</si>
  <si>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</si>
  <si>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</si>
  <si>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</si>
  <si>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</si>
  <si>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</si>
  <si>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</si>
  <si>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</si>
  <si>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</si>
  <si>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</si>
  <si>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</si>
  <si>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</si>
  <si>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</si>
  <si>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</si>
  <si>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</si>
  <si>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</si>
  <si>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</si>
  <si>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</si>
  <si>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</si>
  <si>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</si>
  <si>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</si>
  <si>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</si>
  <si>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</si>
  <si>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</si>
  <si>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</si>
  <si>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</si>
  <si>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</si>
  <si>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</si>
  <si>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</si>
  <si>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</si>
  <si>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</si>
  <si>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</si>
  <si>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</si>
  <si>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</si>
  <si>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</si>
  <si>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</si>
  <si>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</si>
  <si>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</si>
  <si>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</si>
  <si>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</si>
  <si>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</si>
  <si>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</si>
  <si>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</si>
  <si>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</si>
  <si>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</si>
  <si>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</si>
  <si>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</si>
  <si>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</si>
  <si>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</si>
  <si>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</si>
  <si>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</si>
  <si>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</si>
  <si>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</si>
  <si>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</si>
  <si>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</si>
  <si>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</si>
  <si>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</si>
  <si>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</si>
  <si>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</si>
  <si>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</si>
  <si>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</si>
  <si>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</si>
  <si>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</si>
  <si>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</si>
  <si>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</si>
  <si>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</si>
  <si>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</si>
  <si>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</si>
  <si>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</si>
  <si>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</si>
  <si>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</si>
  <si>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</si>
  <si>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</si>
  <si>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</si>
  <si>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</si>
  <si>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</si>
  <si>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</si>
  <si>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</si>
  <si>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</si>
  <si>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</si>
  <si>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</si>
  <si>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</si>
  <si>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</si>
  <si>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</si>
  <si>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</si>
  <si>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</si>
  <si>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</si>
  <si>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</si>
  <si>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</si>
  <si>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</si>
  <si>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</si>
  <si>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</si>
  <si>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</si>
  <si>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</si>
  <si>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</si>
  <si>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</si>
  <si>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</si>
  <si>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</si>
  <si>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</si>
  <si>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</si>
  <si>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</si>
  <si>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</si>
  <si>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</si>
  <si>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</si>
  <si>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</si>
  <si>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</si>
  <si>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</si>
  <si>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</si>
  <si>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</si>
  <si>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</si>
  <si>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</si>
  <si>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</si>
  <si>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</si>
  <si>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</si>
  <si>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</si>
  <si>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</si>
  <si>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</si>
  <si>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</si>
  <si>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</si>
  <si>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</si>
  <si>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</si>
  <si>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</si>
  <si>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</si>
  <si>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</si>
  <si>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</si>
  <si>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</si>
  <si>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</si>
  <si>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</si>
  <si>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</si>
  <si>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</si>
  <si>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</si>
  <si>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</si>
  <si>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</si>
  <si>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</si>
  <si>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</si>
  <si>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</si>
  <si>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</si>
  <si>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</si>
  <si>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</si>
  <si>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</si>
  <si>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</si>
  <si>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</si>
  <si>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</si>
  <si>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</si>
  <si>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</si>
  <si>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</si>
  <si>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</si>
  <si>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</si>
  <si>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</si>
  <si>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</si>
  <si>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</si>
  <si>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</si>
  <si>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</si>
  <si>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</si>
  <si>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</si>
  <si>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</si>
  <si>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</si>
  <si>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</si>
  <si>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</si>
  <si>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</si>
  <si>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</si>
  <si>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</si>
  <si>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</si>
  <si>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</si>
  <si>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</si>
  <si>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</si>
  <si>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</si>
  <si>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</si>
  <si>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</si>
  <si>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</si>
  <si>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</si>
  <si>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</si>
  <si>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</si>
  <si>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</si>
  <si>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</si>
  <si>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</si>
  <si>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</si>
  <si>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</si>
  <si>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</si>
  <si>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</si>
  <si>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</si>
  <si>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</si>
  <si>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</si>
  <si>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</si>
  <si>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</si>
  <si>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</si>
  <si>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</si>
  <si>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</si>
  <si>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</si>
  <si>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</si>
  <si>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</si>
  <si>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</si>
  <si>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</si>
  <si>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</si>
  <si>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</si>
  <si>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</si>
  <si>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</si>
  <si>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</si>
  <si>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</si>
  <si>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</si>
  <si>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</si>
  <si>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</si>
  <si>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</si>
  <si>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</si>
  <si>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</si>
  <si>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</si>
  <si>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</si>
  <si>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</si>
  <si>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</si>
  <si>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</si>
  <si>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</si>
  <si>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</si>
  <si>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</si>
  <si>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</si>
  <si>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</si>
  <si>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</si>
  <si>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</si>
  <si>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</si>
  <si>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</si>
  <si>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</si>
  <si>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</si>
  <si>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</si>
  <si>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</si>
  <si>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</si>
  <si>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</si>
  <si>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</si>
  <si>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</si>
  <si>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</si>
  <si>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</si>
  <si>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</si>
  <si>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</si>
  <si>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</si>
  <si>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</si>
  <si>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</si>
  <si>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</si>
  <si>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</si>
  <si>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</si>
  <si>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</si>
  <si>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</si>
  <si>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</si>
  <si>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</si>
  <si>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</si>
  <si>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</si>
  <si>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</si>
  <si>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</si>
  <si>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</si>
  <si>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</si>
  <si>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</si>
  <si>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</si>
  <si>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</si>
  <si>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</si>
  <si>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</si>
  <si>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</si>
  <si>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</si>
  <si>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</si>
  <si>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</si>
  <si>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</si>
  <si>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</si>
  <si>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</si>
  <si>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</si>
  <si>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</si>
  <si>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</si>
  <si>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</si>
  <si>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</si>
  <si>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</si>
  <si>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</si>
  <si>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</si>
  <si>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</si>
  <si>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</si>
  <si>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</si>
  <si>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</si>
  <si>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</si>
  <si>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</si>
  <si>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</si>
  <si>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</si>
  <si>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</si>
  <si>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</si>
  <si>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</si>
  <si>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</si>
  <si>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</si>
  <si>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</si>
  <si>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</si>
  <si>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</si>
  <si>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</si>
  <si>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</si>
  <si>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</si>
  <si>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</si>
  <si>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</si>
  <si>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</si>
  <si>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</si>
  <si>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</si>
  <si>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</si>
  <si>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</si>
  <si>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</si>
  <si>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</si>
  <si>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</si>
  <si>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</si>
  <si>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</si>
  <si>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</si>
  <si>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</si>
  <si>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</si>
  <si>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</si>
  <si>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</si>
  <si>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</si>
  <si>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</si>
  <si>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</si>
  <si>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</si>
  <si>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</si>
  <si>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</si>
  <si>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</si>
  <si>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</si>
  <si>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</si>
  <si>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</si>
  <si>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</si>
  <si>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</si>
  <si>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</si>
  <si>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</si>
  <si>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</si>
  <si>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</si>
  <si>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</si>
  <si>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</si>
  <si>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</si>
  <si>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</si>
  <si>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</si>
  <si>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</si>
  <si>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</si>
  <si>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</si>
  <si>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</si>
  <si>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</si>
  <si>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</si>
  <si>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</si>
  <si>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</si>
  <si>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</si>
  <si>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</si>
  <si>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</si>
  <si>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</si>
  <si>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</si>
  <si>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</si>
  <si>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</si>
  <si>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</si>
  <si>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</si>
  <si>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</si>
  <si>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</si>
  <si>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</si>
  <si>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</si>
  <si>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</si>
  <si>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</si>
  <si>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</si>
  <si>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</si>
  <si>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</si>
  <si>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</si>
  <si>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</si>
  <si>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</si>
  <si>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</si>
  <si>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</si>
  <si>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</si>
  <si>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</si>
  <si>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</si>
  <si>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</si>
  <si>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</si>
  <si>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</si>
  <si>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</si>
  <si>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</si>
  <si>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</si>
  <si>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</si>
  <si>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</si>
  <si>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</si>
  <si>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</si>
  <si>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</si>
  <si>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</si>
  <si>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</si>
  <si>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</si>
  <si>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</si>
  <si>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</si>
  <si>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</si>
  <si>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</si>
  <si>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</si>
  <si>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</si>
  <si>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</si>
  <si>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</si>
  <si>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</si>
  <si>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</si>
  <si>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</si>
  <si>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</si>
  <si>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</si>
  <si>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</si>
  <si>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</si>
  <si>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</si>
  <si>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</si>
  <si>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</si>
  <si>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</si>
  <si>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</si>
  <si>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</si>
  <si>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</si>
  <si>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</si>
  <si>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</si>
  <si>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</si>
  <si>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</si>
  <si>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</si>
  <si>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</si>
  <si>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</si>
  <si>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</si>
  <si>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</si>
  <si>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</si>
  <si>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</si>
  <si>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</si>
  <si>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</si>
  <si>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</si>
  <si>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</si>
  <si>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</si>
  <si>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</si>
  <si>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</si>
  <si>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</si>
  <si>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</si>
  <si>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</si>
  <si>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</si>
  <si>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</si>
  <si>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</si>
  <si>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</si>
  <si>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</si>
  <si>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</si>
  <si>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</si>
  <si>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</si>
  <si>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</si>
  <si>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</si>
  <si>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</si>
  <si>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</si>
  <si>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</si>
  <si>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</si>
  <si>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</si>
  <si>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</si>
  <si>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</si>
  <si>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</si>
  <si>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</si>
  <si>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</si>
  <si>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</si>
  <si>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</si>
  <si>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</si>
  <si>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</si>
  <si>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</si>
  <si>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</si>
  <si>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</si>
  <si>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</si>
  <si>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</si>
  <si>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</si>
  <si>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</si>
  <si>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</si>
  <si>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</si>
  <si>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</si>
  <si>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</si>
  <si>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</si>
  <si>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</si>
  <si>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</si>
  <si>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</si>
  <si>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</si>
  <si>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</si>
  <si>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</si>
  <si>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</si>
  <si>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</si>
  <si>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</si>
  <si>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</si>
  <si>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</si>
  <si>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</si>
  <si>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</si>
  <si>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</si>
  <si>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</si>
  <si>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</si>
  <si>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</si>
  <si>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</si>
  <si>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</si>
  <si>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</si>
  <si>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</si>
  <si>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</si>
  <si>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</si>
  <si>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</si>
  <si>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</si>
  <si>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</si>
  <si>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</si>
  <si>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</si>
  <si>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</si>
  <si>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</si>
  <si>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</si>
  <si>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</si>
  <si>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</si>
  <si>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</si>
  <si>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</si>
  <si>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</si>
  <si>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</si>
  <si>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</si>
  <si>
    <t>PG/SG</t>
  </si>
  <si>
    <t>SG/SF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</si>
</sst>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workbookViewId="0">
      <selection activeCell="B4" sqref="B4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522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519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522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519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523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520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519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520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523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520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519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523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519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520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519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520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519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519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520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523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23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523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520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22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519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519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520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522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523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519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523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523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522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520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519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522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519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519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522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519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23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523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519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523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519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522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522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519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523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523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522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519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522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519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522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522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522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522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520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523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23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523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522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523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519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522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522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523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523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522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522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522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523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22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522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523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523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522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519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522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522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523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522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519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522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523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519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519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523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522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522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522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523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522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522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522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522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523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6" x14ac:dyDescent="0.25">
      <c r="A2">
        <v>7</v>
      </c>
      <c r="B2">
        <v>7</v>
      </c>
      <c r="C2" t="s">
        <v>22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21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23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438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25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21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22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25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438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23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21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22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23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438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25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21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25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23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438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22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21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23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438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25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22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21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22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438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25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23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21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22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23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438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25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21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438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23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22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25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22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21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23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25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438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21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438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22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23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25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21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23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22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25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438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21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22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23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25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438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21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23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22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438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25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21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22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23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438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25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7"/>
  <sheetViews>
    <sheetView workbookViewId="0">
      <selection activeCell="L2" sqref="L2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472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49</v>
      </c>
      <c r="C37">
        <v>9</v>
      </c>
      <c r="D37" s="2">
        <v>3200000</v>
      </c>
      <c r="F37" s="2">
        <v>3400000</v>
      </c>
      <c r="G37" s="2" t="s">
        <v>472</v>
      </c>
      <c r="H37" s="2">
        <v>3700000</v>
      </c>
      <c r="I37" s="2" t="s">
        <v>472</v>
      </c>
      <c r="L37" t="str">
        <f>VLOOKUP(B37,players!A:B,2)</f>
        <v>Derik Queen</v>
      </c>
    </row>
    <row r="38" spans="1:12" x14ac:dyDescent="0.25">
      <c r="A38">
        <v>2</v>
      </c>
      <c r="B38">
        <v>69</v>
      </c>
      <c r="C38">
        <v>10</v>
      </c>
      <c r="D38" s="2">
        <v>3100000</v>
      </c>
      <c r="F38" s="2">
        <v>3100000</v>
      </c>
      <c r="H38" s="2">
        <v>3100000</v>
      </c>
      <c r="L38" t="str">
        <f>VLOOKUP(B38,players!A:B,2)</f>
        <v>Bobby Portis</v>
      </c>
    </row>
    <row r="39" spans="1:12" x14ac:dyDescent="0.25">
      <c r="A39">
        <v>2</v>
      </c>
      <c r="B39">
        <v>8</v>
      </c>
      <c r="C39">
        <v>11</v>
      </c>
      <c r="D39" s="2">
        <v>6000000</v>
      </c>
      <c r="F39" s="2">
        <v>6500000</v>
      </c>
      <c r="G39" s="2" t="s">
        <v>472</v>
      </c>
      <c r="L39" t="str">
        <f>VLOOKUP(B39,players!A:B,2)</f>
        <v>Zach Edey</v>
      </c>
    </row>
    <row r="40" spans="1:12" x14ac:dyDescent="0.25">
      <c r="A40">
        <v>2</v>
      </c>
      <c r="B40">
        <v>290</v>
      </c>
      <c r="C40">
        <v>12</v>
      </c>
      <c r="D40" s="2">
        <v>1000000</v>
      </c>
      <c r="F40" s="2">
        <v>1000000</v>
      </c>
      <c r="G40" s="2" t="s">
        <v>472</v>
      </c>
      <c r="H40" s="2">
        <v>1000000</v>
      </c>
      <c r="L40" t="str">
        <f>VLOOKUP(B40,players!A:B,2)</f>
        <v>Will Riley</v>
      </c>
    </row>
    <row r="41" spans="1:12" x14ac:dyDescent="0.25">
      <c r="A41">
        <v>3</v>
      </c>
      <c r="B41">
        <v>184</v>
      </c>
      <c r="C41">
        <v>1</v>
      </c>
      <c r="D41" s="2">
        <v>8000000</v>
      </c>
      <c r="F41" s="2">
        <v>8000000</v>
      </c>
      <c r="L41" t="str">
        <f>VLOOKUP(B41,players!A:B,2)</f>
        <v>Immanuel Quickley</v>
      </c>
    </row>
    <row r="42" spans="1:12" x14ac:dyDescent="0.25">
      <c r="A42">
        <v>3</v>
      </c>
      <c r="B42">
        <v>237</v>
      </c>
      <c r="C42">
        <v>2</v>
      </c>
      <c r="L42" t="str">
        <f>VLOOKUP(B42,players!A:B,2)</f>
        <v>Nickeil Alexander-Walker</v>
      </c>
    </row>
    <row r="43" spans="1:12" x14ac:dyDescent="0.25">
      <c r="A43">
        <v>3</v>
      </c>
      <c r="B43">
        <v>119</v>
      </c>
      <c r="C43">
        <v>3</v>
      </c>
      <c r="L43" t="str">
        <f>VLOOKUP(B43,players!A:B,2)</f>
        <v>Kyshawn George</v>
      </c>
    </row>
    <row r="44" spans="1:12" x14ac:dyDescent="0.25">
      <c r="A44">
        <v>3</v>
      </c>
      <c r="B44">
        <v>206</v>
      </c>
      <c r="C44">
        <v>4</v>
      </c>
      <c r="D44" s="2">
        <v>5000000</v>
      </c>
      <c r="L44" t="str">
        <f>VLOOKUP(B44,players!A:B,2)</f>
        <v>Cameron Johnson</v>
      </c>
    </row>
    <row r="45" spans="1:12" x14ac:dyDescent="0.25">
      <c r="A45">
        <v>3</v>
      </c>
      <c r="B45">
        <v>112</v>
      </c>
      <c r="C45">
        <v>5</v>
      </c>
      <c r="L45" t="str">
        <f>VLOOKUP(B45,players!A:B,2)</f>
        <v>Myles Turner</v>
      </c>
    </row>
    <row r="46" spans="1:12" x14ac:dyDescent="0.25">
      <c r="A46">
        <v>3</v>
      </c>
      <c r="B46">
        <v>23</v>
      </c>
      <c r="C46">
        <v>6</v>
      </c>
      <c r="L46" t="str">
        <f>VLOOKUP(B46,players!A:B,2)</f>
        <v>Mitchell Robinson</v>
      </c>
    </row>
    <row r="47" spans="1:12" x14ac:dyDescent="0.25">
      <c r="A47">
        <v>3</v>
      </c>
      <c r="B47">
        <v>11</v>
      </c>
      <c r="C47">
        <v>7</v>
      </c>
      <c r="L47" t="str">
        <f>VLOOKUP(B47,players!A:B,2)</f>
        <v>Jalen Duren</v>
      </c>
    </row>
    <row r="48" spans="1:12" x14ac:dyDescent="0.25">
      <c r="A48">
        <v>3</v>
      </c>
      <c r="B48">
        <v>36</v>
      </c>
      <c r="C48">
        <v>8</v>
      </c>
      <c r="D48" s="2">
        <v>40000000</v>
      </c>
      <c r="F48" s="2">
        <v>40000000</v>
      </c>
      <c r="H48" s="2">
        <v>40000000</v>
      </c>
      <c r="L48" t="str">
        <f>VLOOKUP(B48,players!A:B,2)</f>
        <v>Luka Dončić</v>
      </c>
    </row>
    <row r="49" spans="1:12" x14ac:dyDescent="0.25">
      <c r="A49">
        <v>3</v>
      </c>
      <c r="B49">
        <v>68</v>
      </c>
      <c r="C49">
        <v>9</v>
      </c>
      <c r="D49" s="2">
        <v>6000000</v>
      </c>
      <c r="L49" t="str">
        <f>VLOOKUP(B49,players!A:B,2)</f>
        <v>Kawhi Leonard</v>
      </c>
    </row>
    <row r="50" spans="1:12" x14ac:dyDescent="0.25">
      <c r="A50">
        <v>3</v>
      </c>
      <c r="B50">
        <v>85</v>
      </c>
      <c r="C50">
        <v>10</v>
      </c>
      <c r="D50" s="2">
        <v>14000000</v>
      </c>
      <c r="F50" s="2">
        <v>14000000</v>
      </c>
      <c r="L50" t="str">
        <f>VLOOKUP(B50,players!A:B,2)</f>
        <v>Jaren Jackson Jr.</v>
      </c>
    </row>
    <row r="51" spans="1:12" x14ac:dyDescent="0.25">
      <c r="A51">
        <v>3</v>
      </c>
      <c r="B51">
        <v>117</v>
      </c>
      <c r="C51">
        <v>11</v>
      </c>
      <c r="D51" s="2">
        <v>6500000</v>
      </c>
      <c r="F51" s="2">
        <v>6500000</v>
      </c>
      <c r="H51" s="2">
        <v>6500000</v>
      </c>
      <c r="L51" t="str">
        <f>VLOOKUP(B51,players!A:B,2)</f>
        <v>OG Anunoby</v>
      </c>
    </row>
    <row r="52" spans="1:12" x14ac:dyDescent="0.25">
      <c r="A52">
        <v>3</v>
      </c>
      <c r="B52">
        <v>142</v>
      </c>
      <c r="C52">
        <v>12</v>
      </c>
      <c r="D52" s="2">
        <v>5000000</v>
      </c>
      <c r="L52" t="str">
        <f>VLOOKUP(B52,players!A:B,2)</f>
        <v>Kyrie Irving</v>
      </c>
    </row>
    <row r="53" spans="1:12" x14ac:dyDescent="0.25">
      <c r="A53">
        <v>3</v>
      </c>
      <c r="B53">
        <v>295</v>
      </c>
      <c r="C53">
        <v>13</v>
      </c>
      <c r="D53" s="2">
        <v>8000000</v>
      </c>
      <c r="L53" t="str">
        <f>VLOOKUP(B53,players!A:B,2)</f>
        <v>Zach LaVine</v>
      </c>
    </row>
    <row r="54" spans="1:12" x14ac:dyDescent="0.25">
      <c r="A54">
        <v>4</v>
      </c>
      <c r="B54">
        <v>379</v>
      </c>
      <c r="C54">
        <v>1</v>
      </c>
      <c r="D54" s="2">
        <v>1000000</v>
      </c>
      <c r="F54" s="2">
        <v>1000000</v>
      </c>
      <c r="G54" s="2" t="s">
        <v>472</v>
      </c>
      <c r="H54" s="2">
        <v>1000000</v>
      </c>
      <c r="I54" s="2" t="s">
        <v>472</v>
      </c>
      <c r="L54" t="str">
        <f>VLOOKUP(B54,players!A:B,2)</f>
        <v>Nolan Traoré</v>
      </c>
    </row>
    <row r="55" spans="1:12" x14ac:dyDescent="0.25">
      <c r="A55">
        <v>4</v>
      </c>
      <c r="B55">
        <v>364</v>
      </c>
      <c r="C55">
        <v>2</v>
      </c>
      <c r="D55" s="2">
        <v>1000000</v>
      </c>
      <c r="F55" s="2">
        <v>1000000</v>
      </c>
      <c r="G55" s="2" t="s">
        <v>472</v>
      </c>
      <c r="L55" t="str">
        <f>VLOOKUP(B55,players!A:B,2)</f>
        <v>Jared McCain</v>
      </c>
    </row>
    <row r="56" spans="1:12" x14ac:dyDescent="0.25">
      <c r="A56">
        <v>4</v>
      </c>
      <c r="B56">
        <v>104</v>
      </c>
      <c r="C56">
        <v>3</v>
      </c>
      <c r="L56" t="str">
        <f>VLOOKUP(B56,players!A:B,2)</f>
        <v>Keldon Johnson</v>
      </c>
    </row>
    <row r="57" spans="1:12" x14ac:dyDescent="0.25">
      <c r="A57">
        <v>4</v>
      </c>
      <c r="B57">
        <v>62</v>
      </c>
      <c r="C57">
        <v>4</v>
      </c>
      <c r="D57" s="2">
        <v>2500000</v>
      </c>
      <c r="L57" t="str">
        <f>VLOOKUP(B57,players!A:B,2)</f>
        <v>Santi Aldama</v>
      </c>
    </row>
    <row r="58" spans="1:12" x14ac:dyDescent="0.25">
      <c r="A58">
        <v>4</v>
      </c>
      <c r="B58">
        <v>33</v>
      </c>
      <c r="C58">
        <v>5</v>
      </c>
      <c r="D58" s="2">
        <v>11000000</v>
      </c>
      <c r="L58" t="str">
        <f>VLOOKUP(B58,players!A:B,2)</f>
        <v>Deandre Ayton</v>
      </c>
    </row>
    <row r="59" spans="1:12" x14ac:dyDescent="0.25">
      <c r="A59">
        <v>4</v>
      </c>
      <c r="B59">
        <v>57</v>
      </c>
      <c r="C59">
        <v>6</v>
      </c>
      <c r="D59" s="2">
        <v>5000000</v>
      </c>
      <c r="F59" s="2">
        <v>5000000</v>
      </c>
      <c r="L59" t="str">
        <f>VLOOKUP(B59,players!A:B,2)</f>
        <v>Nic Claxton</v>
      </c>
    </row>
    <row r="60" spans="1:12" x14ac:dyDescent="0.25">
      <c r="A60">
        <v>4</v>
      </c>
      <c r="B60">
        <v>16</v>
      </c>
      <c r="C60">
        <v>7</v>
      </c>
      <c r="D60" s="2">
        <v>17000000</v>
      </c>
      <c r="F60" s="2">
        <v>17000000</v>
      </c>
      <c r="L60" t="str">
        <f>VLOOKUP(B60,players!A:B,2)</f>
        <v>Bam Adebayo</v>
      </c>
    </row>
    <row r="61" spans="1:12" x14ac:dyDescent="0.25">
      <c r="A61">
        <v>4</v>
      </c>
      <c r="B61">
        <v>53</v>
      </c>
      <c r="C61">
        <v>8</v>
      </c>
      <c r="D61" s="2">
        <v>22500000</v>
      </c>
      <c r="L61" t="str">
        <f>VLOOKUP(B61,players!A:B,2)</f>
        <v>Jaylen Brown</v>
      </c>
    </row>
    <row r="62" spans="1:12" x14ac:dyDescent="0.25">
      <c r="A62">
        <v>4</v>
      </c>
      <c r="B62">
        <v>110</v>
      </c>
      <c r="C62">
        <v>9</v>
      </c>
      <c r="D62" s="2">
        <v>5000000</v>
      </c>
      <c r="F62" s="2">
        <v>5500000</v>
      </c>
      <c r="G62" s="2" t="s">
        <v>472</v>
      </c>
      <c r="L62" t="str">
        <f>VLOOKUP(B62,players!A:B,2)</f>
        <v>Stephon Castle</v>
      </c>
    </row>
    <row r="63" spans="1:12" x14ac:dyDescent="0.25">
      <c r="A63">
        <v>4</v>
      </c>
      <c r="B63">
        <v>114</v>
      </c>
      <c r="C63">
        <v>10</v>
      </c>
      <c r="D63" s="2">
        <v>15000000</v>
      </c>
      <c r="F63" s="2">
        <v>15000000</v>
      </c>
      <c r="H63" s="2">
        <v>15000000</v>
      </c>
      <c r="L63" t="str">
        <f>VLOOKUP(B63,players!A:B,2)</f>
        <v>Franz Wagner</v>
      </c>
    </row>
    <row r="64" spans="1:12" x14ac:dyDescent="0.25">
      <c r="A64">
        <v>4</v>
      </c>
      <c r="B64">
        <v>157</v>
      </c>
      <c r="C64">
        <v>11</v>
      </c>
      <c r="D64" s="2">
        <v>19000000</v>
      </c>
      <c r="F64" s="2">
        <v>19000000</v>
      </c>
      <c r="H64" s="2">
        <v>19000000</v>
      </c>
      <c r="L64" t="str">
        <f>VLOOKUP(B64,players!A:B,2)</f>
        <v>Donovan Mitchell</v>
      </c>
    </row>
    <row r="65" spans="1:12" x14ac:dyDescent="0.25">
      <c r="A65">
        <v>4</v>
      </c>
      <c r="B65">
        <v>287</v>
      </c>
      <c r="C65">
        <v>12</v>
      </c>
      <c r="D65" s="2">
        <v>10000000</v>
      </c>
      <c r="L65" t="str">
        <f>VLOOKUP(B65,players!A:B,2)</f>
        <v>DeMar DeRozan</v>
      </c>
    </row>
    <row r="66" spans="1:12" x14ac:dyDescent="0.25">
      <c r="A66">
        <v>5</v>
      </c>
      <c r="B66">
        <v>305</v>
      </c>
      <c r="C66">
        <v>1</v>
      </c>
      <c r="L66" t="str">
        <f>VLOOKUP(B66,players!A:B,2)</f>
        <v>Dennis Schröder</v>
      </c>
    </row>
    <row r="67" spans="1:12" x14ac:dyDescent="0.25">
      <c r="A67">
        <v>5</v>
      </c>
      <c r="B67">
        <v>262</v>
      </c>
      <c r="C67">
        <v>2</v>
      </c>
      <c r="D67" s="2">
        <v>3600000</v>
      </c>
      <c r="F67" s="2">
        <v>3800000</v>
      </c>
      <c r="G67" s="2" t="s">
        <v>472</v>
      </c>
      <c r="H67" s="2">
        <v>4100000</v>
      </c>
      <c r="I67" s="2" t="s">
        <v>472</v>
      </c>
      <c r="L67" t="str">
        <f>VLOOKUP(B67,players!A:B,2)</f>
        <v>Egor Dёmin</v>
      </c>
    </row>
    <row r="68" spans="1:12" x14ac:dyDescent="0.25">
      <c r="A68">
        <v>5</v>
      </c>
      <c r="B68">
        <v>274</v>
      </c>
      <c r="C68">
        <v>3</v>
      </c>
      <c r="L68" t="str">
        <f>VLOOKUP(B68,players!A:B,2)</f>
        <v>Grayson Allen</v>
      </c>
    </row>
    <row r="69" spans="1:12" x14ac:dyDescent="0.25">
      <c r="A69">
        <v>5</v>
      </c>
      <c r="B69">
        <v>143</v>
      </c>
      <c r="C69">
        <v>4</v>
      </c>
      <c r="D69" s="2">
        <v>21000000</v>
      </c>
      <c r="F69" s="2">
        <v>21000000</v>
      </c>
      <c r="L69" t="str">
        <f>VLOOKUP(B69,players!A:B,2)</f>
        <v>James Harden</v>
      </c>
    </row>
    <row r="70" spans="1:12" x14ac:dyDescent="0.25">
      <c r="A70">
        <v>5</v>
      </c>
      <c r="B70">
        <v>131</v>
      </c>
      <c r="C70">
        <v>5</v>
      </c>
      <c r="L70" t="str">
        <f>VLOOKUP(B70,players!A:B,2)</f>
        <v>Isaiah Stewart</v>
      </c>
    </row>
    <row r="71" spans="1:12" x14ac:dyDescent="0.25">
      <c r="A71">
        <v>5</v>
      </c>
      <c r="B71">
        <v>133</v>
      </c>
      <c r="C71">
        <v>6</v>
      </c>
      <c r="D71" s="2">
        <v>2800000</v>
      </c>
      <c r="F71" s="2">
        <v>3000000</v>
      </c>
      <c r="G71" s="2" t="s">
        <v>472</v>
      </c>
      <c r="H71" s="2">
        <v>3300000</v>
      </c>
      <c r="I71" s="2" t="s">
        <v>472</v>
      </c>
      <c r="L71" t="str">
        <f>VLOOKUP(B71,players!A:B,2)</f>
        <v>Collin Murray-Boyles</v>
      </c>
    </row>
    <row r="72" spans="1:12" x14ac:dyDescent="0.25">
      <c r="A72">
        <v>5</v>
      </c>
      <c r="B72">
        <v>37</v>
      </c>
      <c r="C72">
        <v>7</v>
      </c>
      <c r="D72" s="2">
        <v>17000000</v>
      </c>
      <c r="F72" s="2">
        <v>17000000</v>
      </c>
      <c r="L72" t="str">
        <f>VLOOKUP(B72,players!A:B,2)</f>
        <v>Joel Embiid</v>
      </c>
    </row>
    <row r="73" spans="1:12" x14ac:dyDescent="0.25">
      <c r="A73">
        <v>5</v>
      </c>
      <c r="B73">
        <v>17</v>
      </c>
      <c r="C73">
        <v>8</v>
      </c>
      <c r="D73" s="2">
        <v>40000000</v>
      </c>
      <c r="F73" s="2">
        <v>40000000</v>
      </c>
      <c r="H73" s="2">
        <v>40000000</v>
      </c>
      <c r="L73" t="str">
        <f>VLOOKUP(B73,players!A:B,2)</f>
        <v>Giannis Antetokounmpo</v>
      </c>
    </row>
    <row r="74" spans="1:12" x14ac:dyDescent="0.25">
      <c r="A74">
        <v>5</v>
      </c>
      <c r="B74">
        <v>72</v>
      </c>
      <c r="C74">
        <v>9</v>
      </c>
      <c r="D74" s="2">
        <v>3100000</v>
      </c>
      <c r="F74" s="2">
        <v>3100000</v>
      </c>
      <c r="L74" t="str">
        <f>VLOOKUP(B74,players!A:B,2)</f>
        <v>Naz Reid</v>
      </c>
    </row>
    <row r="75" spans="1:12" x14ac:dyDescent="0.25">
      <c r="A75">
        <v>5</v>
      </c>
      <c r="B75">
        <v>227</v>
      </c>
      <c r="C75">
        <v>10</v>
      </c>
      <c r="L75" t="str">
        <f>VLOOKUP(B75,players!A:B,2)</f>
        <v>Jerami Grant</v>
      </c>
    </row>
    <row r="76" spans="1:12" x14ac:dyDescent="0.25">
      <c r="A76">
        <v>5</v>
      </c>
      <c r="B76">
        <v>48</v>
      </c>
      <c r="C76">
        <v>11</v>
      </c>
      <c r="L76" t="str">
        <f>VLOOKUP(B76,players!A:B,2)</f>
        <v>Michael Porter Jr.</v>
      </c>
    </row>
    <row r="77" spans="1:12" x14ac:dyDescent="0.25">
      <c r="A77">
        <v>5</v>
      </c>
      <c r="B77">
        <v>148</v>
      </c>
      <c r="C77">
        <v>12</v>
      </c>
      <c r="L77" t="str">
        <f>VLOOKUP(B77,players!A:B,2)</f>
        <v>Royce O'Neale</v>
      </c>
    </row>
    <row r="78" spans="1:12" x14ac:dyDescent="0.25">
      <c r="A78">
        <v>5</v>
      </c>
      <c r="B78">
        <v>152</v>
      </c>
      <c r="C78">
        <v>12</v>
      </c>
      <c r="L78" t="str">
        <f>VLOOKUP(B78,players!A:B,2)</f>
        <v>Ryan Rollins</v>
      </c>
    </row>
    <row r="79" spans="1:12" x14ac:dyDescent="0.25">
      <c r="A79">
        <v>6</v>
      </c>
      <c r="B79">
        <v>162</v>
      </c>
      <c r="C79">
        <v>1</v>
      </c>
      <c r="D79" s="2">
        <v>6000000</v>
      </c>
      <c r="F79" s="2">
        <v>6000000</v>
      </c>
      <c r="L79" t="str">
        <f>VLOOKUP(B79,players!A:B,2)</f>
        <v>Derrick White</v>
      </c>
    </row>
    <row r="80" spans="1:12" x14ac:dyDescent="0.25">
      <c r="A80">
        <v>6</v>
      </c>
      <c r="B80">
        <v>338</v>
      </c>
      <c r="C80">
        <v>2</v>
      </c>
      <c r="D80" s="2">
        <v>1000000</v>
      </c>
      <c r="L80" t="str">
        <f>VLOOKUP(B80,players!A:B,2)</f>
        <v>D'Angelo Russell</v>
      </c>
    </row>
    <row r="81" spans="1:12" x14ac:dyDescent="0.25">
      <c r="A81">
        <v>6</v>
      </c>
      <c r="B81">
        <v>45</v>
      </c>
      <c r="C81">
        <v>3</v>
      </c>
      <c r="L81" t="str">
        <f>VLOOKUP(B81,players!A:B,2)</f>
        <v>Josh Hart</v>
      </c>
    </row>
    <row r="82" spans="1:12" x14ac:dyDescent="0.25">
      <c r="A82">
        <v>6</v>
      </c>
      <c r="B82">
        <v>122</v>
      </c>
      <c r="C82">
        <v>4</v>
      </c>
      <c r="L82" t="str">
        <f>VLOOKUP(B82,players!A:B,2)</f>
        <v>Tobias Harris</v>
      </c>
    </row>
    <row r="83" spans="1:12" x14ac:dyDescent="0.25">
      <c r="A83">
        <v>6</v>
      </c>
      <c r="B83">
        <v>98</v>
      </c>
      <c r="C83">
        <v>5</v>
      </c>
      <c r="L83" t="str">
        <f>VLOOKUP(B83,players!A:B,2)</f>
        <v>Draymond Green</v>
      </c>
    </row>
    <row r="84" spans="1:12" x14ac:dyDescent="0.25">
      <c r="A84">
        <v>6</v>
      </c>
      <c r="B84">
        <v>13</v>
      </c>
      <c r="C84">
        <v>6</v>
      </c>
      <c r="L84" t="str">
        <f>VLOOKUP(B84,players!A:B,2)</f>
        <v>Jusuf Nurkić</v>
      </c>
    </row>
    <row r="85" spans="1:12" x14ac:dyDescent="0.25">
      <c r="A85">
        <v>6</v>
      </c>
      <c r="B85">
        <v>1</v>
      </c>
      <c r="C85">
        <v>7</v>
      </c>
      <c r="D85" s="2">
        <v>20000000</v>
      </c>
      <c r="L85" t="str">
        <f>VLOOKUP(B85,players!A:B,2)</f>
        <v>Nikola Jokić</v>
      </c>
    </row>
    <row r="86" spans="1:12" x14ac:dyDescent="0.25">
      <c r="A86">
        <v>6</v>
      </c>
      <c r="B86">
        <v>27</v>
      </c>
      <c r="C86">
        <v>8</v>
      </c>
      <c r="L86" t="str">
        <f>VLOOKUP(B86,players!A:B,2)</f>
        <v>Paolo Banchero</v>
      </c>
    </row>
    <row r="87" spans="1:12" x14ac:dyDescent="0.25">
      <c r="A87">
        <v>6</v>
      </c>
      <c r="B87">
        <v>77</v>
      </c>
      <c r="C87">
        <v>9</v>
      </c>
      <c r="D87" s="2">
        <v>7000000</v>
      </c>
      <c r="L87" t="str">
        <f>VLOOKUP(B87,players!A:B,2)</f>
        <v>Miles Bridges</v>
      </c>
    </row>
    <row r="88" spans="1:12" x14ac:dyDescent="0.25">
      <c r="A88">
        <v>6</v>
      </c>
      <c r="B88">
        <v>97</v>
      </c>
      <c r="C88">
        <v>10</v>
      </c>
      <c r="D88" s="2">
        <v>35000000</v>
      </c>
      <c r="F88" s="2">
        <v>35000000</v>
      </c>
      <c r="L88" t="str">
        <f>VLOOKUP(B88,players!A:B,2)</f>
        <v>Cade Cunningham</v>
      </c>
    </row>
    <row r="89" spans="1:12" x14ac:dyDescent="0.25">
      <c r="A89">
        <v>6</v>
      </c>
      <c r="B89">
        <v>56</v>
      </c>
      <c r="C89">
        <v>11</v>
      </c>
      <c r="D89" s="2">
        <v>3100000</v>
      </c>
      <c r="F89" s="2">
        <v>3100000</v>
      </c>
      <c r="L89" t="str">
        <f>VLOOKUP(B89,players!A:B,2)</f>
        <v>Jabari Smith Jr.</v>
      </c>
    </row>
    <row r="90" spans="1:12" x14ac:dyDescent="0.25">
      <c r="A90">
        <v>6</v>
      </c>
      <c r="B90">
        <v>211</v>
      </c>
      <c r="C90">
        <v>12</v>
      </c>
      <c r="D90" s="2">
        <v>1000000</v>
      </c>
      <c r="L90" t="str">
        <f>VLOOKUP(B90,players!A:B,2)</f>
        <v>Keyonte George</v>
      </c>
    </row>
    <row r="91" spans="1:12" x14ac:dyDescent="0.25">
      <c r="A91">
        <v>6</v>
      </c>
      <c r="B91">
        <v>161</v>
      </c>
      <c r="C91">
        <v>13</v>
      </c>
      <c r="L91" t="str">
        <f>VLOOKUP(B91,players!A:B,2)</f>
        <v>Damian Lillard</v>
      </c>
    </row>
    <row r="92" spans="1:12" x14ac:dyDescent="0.25">
      <c r="A92">
        <v>6</v>
      </c>
      <c r="B92">
        <v>93</v>
      </c>
      <c r="C92">
        <v>14</v>
      </c>
      <c r="D92" s="2">
        <v>6000000</v>
      </c>
      <c r="F92" s="2">
        <v>6000000</v>
      </c>
      <c r="L92" t="str">
        <f>VLOOKUP(B92,players!A:B,2)</f>
        <v>Jonathan Kuminga</v>
      </c>
    </row>
    <row r="93" spans="1:12" x14ac:dyDescent="0.25">
      <c r="A93">
        <v>6</v>
      </c>
      <c r="B93">
        <v>71</v>
      </c>
      <c r="C93">
        <v>15</v>
      </c>
      <c r="L93" t="str">
        <f>VLOOKUP(B93,players!A:B,2)</f>
        <v>Tari Eason</v>
      </c>
    </row>
    <row r="94" spans="1:12" x14ac:dyDescent="0.25">
      <c r="A94">
        <v>8</v>
      </c>
      <c r="B94">
        <v>242</v>
      </c>
      <c r="C94">
        <v>1</v>
      </c>
      <c r="D94" s="2">
        <v>3800000</v>
      </c>
      <c r="F94" s="2">
        <v>4100000</v>
      </c>
      <c r="G94" s="2" t="s">
        <v>472</v>
      </c>
      <c r="L94" t="str">
        <f>VLOOKUP(B94,players!A:B,2)</f>
        <v>Bub Carrington</v>
      </c>
    </row>
    <row r="95" spans="1:12" x14ac:dyDescent="0.25">
      <c r="A95">
        <v>8</v>
      </c>
      <c r="B95">
        <v>154</v>
      </c>
      <c r="C95">
        <v>2</v>
      </c>
      <c r="L95" t="str">
        <f>VLOOKUP(B95,players!A:B,2)</f>
        <v>Jrue Holiday</v>
      </c>
    </row>
    <row r="96" spans="1:12" x14ac:dyDescent="0.25">
      <c r="A96">
        <v>8</v>
      </c>
      <c r="B96">
        <v>76</v>
      </c>
      <c r="C96">
        <v>3</v>
      </c>
      <c r="D96" s="2">
        <v>1000000</v>
      </c>
      <c r="F96" s="2">
        <v>1000000</v>
      </c>
      <c r="G96" s="2" t="s">
        <v>472</v>
      </c>
      <c r="H96" s="2">
        <v>1000000</v>
      </c>
      <c r="I96" s="2" t="s">
        <v>472</v>
      </c>
      <c r="L96" t="str">
        <f>VLOOKUP(B96,players!A:B,2)</f>
        <v>Cedric Coward</v>
      </c>
    </row>
    <row r="97" spans="1:12" x14ac:dyDescent="0.25">
      <c r="A97">
        <v>8</v>
      </c>
      <c r="B97">
        <v>79</v>
      </c>
      <c r="C97">
        <v>4</v>
      </c>
      <c r="D97" s="2">
        <v>2000000</v>
      </c>
      <c r="L97" t="str">
        <f>VLOOKUP(B97,players!A:B,2)</f>
        <v>Aaron Gordon</v>
      </c>
    </row>
    <row r="98" spans="1:12" x14ac:dyDescent="0.25">
      <c r="A98">
        <v>8</v>
      </c>
      <c r="B98">
        <v>116</v>
      </c>
      <c r="C98">
        <v>5</v>
      </c>
      <c r="D98" s="2">
        <v>6000000</v>
      </c>
      <c r="F98" s="2">
        <v>6000000</v>
      </c>
      <c r="H98" s="2">
        <v>6000000</v>
      </c>
      <c r="L98" t="str">
        <f>VLOOKUP(B98,players!A:B,2)</f>
        <v>Kristaps Porziņģis</v>
      </c>
    </row>
    <row r="99" spans="1:12" x14ac:dyDescent="0.25">
      <c r="A99">
        <v>8</v>
      </c>
      <c r="B99">
        <v>3</v>
      </c>
      <c r="C99">
        <v>6</v>
      </c>
      <c r="D99" s="2">
        <v>7000000</v>
      </c>
      <c r="F99" s="2">
        <v>7500000</v>
      </c>
      <c r="G99" s="2" t="s">
        <v>472</v>
      </c>
      <c r="L99" t="str">
        <f>VLOOKUP(B99,players!A:B,2)</f>
        <v>Donovan Clingan</v>
      </c>
    </row>
    <row r="100" spans="1:12" x14ac:dyDescent="0.25">
      <c r="A100">
        <v>8</v>
      </c>
      <c r="B100">
        <v>5</v>
      </c>
      <c r="C100">
        <v>7</v>
      </c>
      <c r="D100" s="2">
        <v>4000000</v>
      </c>
      <c r="F100" s="2">
        <v>4000000</v>
      </c>
      <c r="L100" t="str">
        <f>VLOOKUP(B100,players!A:B,2)</f>
        <v>Rudy Gobert</v>
      </c>
    </row>
    <row r="101" spans="1:12" x14ac:dyDescent="0.25">
      <c r="A101">
        <v>8</v>
      </c>
      <c r="B101">
        <v>14</v>
      </c>
      <c r="C101">
        <v>8</v>
      </c>
      <c r="D101" s="2">
        <v>16000000</v>
      </c>
      <c r="F101" s="2">
        <v>16000000</v>
      </c>
      <c r="H101" s="2">
        <v>16000000</v>
      </c>
      <c r="L101" t="str">
        <f>VLOOKUP(B101,players!A:B,2)</f>
        <v>Jalen Johnson</v>
      </c>
    </row>
    <row r="102" spans="1:12" x14ac:dyDescent="0.25">
      <c r="A102">
        <v>8</v>
      </c>
      <c r="B102">
        <v>83</v>
      </c>
      <c r="C102">
        <v>9</v>
      </c>
      <c r="D102" s="2">
        <v>9000000</v>
      </c>
      <c r="F102" s="2">
        <v>9000000</v>
      </c>
      <c r="L102" t="str">
        <f>VLOOKUP(B102,players!A:B,2)</f>
        <v>Trey Murphy III</v>
      </c>
    </row>
    <row r="103" spans="1:12" x14ac:dyDescent="0.25">
      <c r="A103">
        <v>8</v>
      </c>
      <c r="B103">
        <v>84</v>
      </c>
      <c r="C103">
        <v>10</v>
      </c>
      <c r="D103" s="2">
        <v>16000000</v>
      </c>
      <c r="L103" t="str">
        <f>VLOOKUP(B103,players!A:B,2)</f>
        <v>Zion Williamson</v>
      </c>
    </row>
    <row r="104" spans="1:12" x14ac:dyDescent="0.25">
      <c r="A104">
        <v>8</v>
      </c>
      <c r="B104">
        <v>203</v>
      </c>
      <c r="C104">
        <v>11</v>
      </c>
      <c r="D104" s="2">
        <v>19000000</v>
      </c>
      <c r="F104" s="2">
        <v>19000000</v>
      </c>
      <c r="H104" s="2">
        <v>19000000</v>
      </c>
      <c r="L104" t="str">
        <f>VLOOKUP(B104,players!A:B,2)</f>
        <v>De'Aaron Fox</v>
      </c>
    </row>
    <row r="105" spans="1:12" x14ac:dyDescent="0.25">
      <c r="A105">
        <v>8</v>
      </c>
      <c r="B105">
        <v>225</v>
      </c>
      <c r="C105">
        <v>12</v>
      </c>
      <c r="L105" t="str">
        <f>VLOOKUP(B105,players!A:B,2)</f>
        <v>Norman Powell</v>
      </c>
    </row>
    <row r="106" spans="1:12" x14ac:dyDescent="0.25">
      <c r="A106">
        <v>8</v>
      </c>
      <c r="B106">
        <v>59</v>
      </c>
      <c r="C106">
        <v>13</v>
      </c>
      <c r="L106" t="str">
        <f>VLOOKUP(B106,players!A:B,2)</f>
        <v>Dyson Daniels</v>
      </c>
    </row>
    <row r="107" spans="1:12" x14ac:dyDescent="0.25">
      <c r="A107">
        <v>8</v>
      </c>
      <c r="B107">
        <v>336</v>
      </c>
      <c r="C107">
        <v>14</v>
      </c>
      <c r="L107" t="str">
        <f>VLOOKUP(B107,players!A:B,2)</f>
        <v>Collin Sexton</v>
      </c>
    </row>
    <row r="108" spans="1:12" x14ac:dyDescent="0.25">
      <c r="A108">
        <v>9</v>
      </c>
      <c r="B108">
        <v>384</v>
      </c>
      <c r="C108">
        <v>1</v>
      </c>
      <c r="D108" s="2">
        <v>3100000</v>
      </c>
      <c r="F108" s="2">
        <v>3100000</v>
      </c>
      <c r="H108" s="2">
        <v>3100000</v>
      </c>
      <c r="L108" t="str">
        <f>VLOOKUP(B108,players!A:B,2)</f>
        <v>Cam Thomas</v>
      </c>
    </row>
    <row r="109" spans="1:12" x14ac:dyDescent="0.25">
      <c r="A109">
        <v>9</v>
      </c>
      <c r="B109">
        <v>240</v>
      </c>
      <c r="C109">
        <v>2</v>
      </c>
      <c r="L109" t="str">
        <f>VLOOKUP(B109,players!A:B,2)</f>
        <v>Ayo Dosunmu</v>
      </c>
    </row>
    <row r="110" spans="1:12" x14ac:dyDescent="0.25">
      <c r="A110">
        <v>9</v>
      </c>
      <c r="B110">
        <v>186</v>
      </c>
      <c r="C110">
        <v>3</v>
      </c>
      <c r="D110" s="2">
        <v>4500000</v>
      </c>
      <c r="L110" t="str">
        <f>VLOOKUP(B110,players!A:B,2)</f>
        <v>Devin Vassell</v>
      </c>
    </row>
    <row r="111" spans="1:12" x14ac:dyDescent="0.25">
      <c r="A111">
        <v>9</v>
      </c>
      <c r="B111">
        <v>251</v>
      </c>
      <c r="C111">
        <v>4</v>
      </c>
      <c r="L111" t="str">
        <f>VLOOKUP(B111,players!A:B,2)</f>
        <v>Rui Hachimura</v>
      </c>
    </row>
    <row r="112" spans="1:12" x14ac:dyDescent="0.25">
      <c r="A112">
        <v>9</v>
      </c>
      <c r="B112">
        <v>416</v>
      </c>
      <c r="C112">
        <v>5</v>
      </c>
      <c r="L112" t="str">
        <f>VLOOKUP(B112,players!A:B,2)</f>
        <v>Clint Capela</v>
      </c>
    </row>
    <row r="113" spans="1:12" x14ac:dyDescent="0.25">
      <c r="A113">
        <v>9</v>
      </c>
      <c r="B113">
        <v>170</v>
      </c>
      <c r="C113">
        <v>6</v>
      </c>
      <c r="D113" s="2">
        <v>3100000</v>
      </c>
      <c r="F113" s="2">
        <v>3100000</v>
      </c>
      <c r="H113" s="2">
        <v>3100000</v>
      </c>
      <c r="L113" t="str">
        <f>VLOOKUP(B113,players!A:B,2)</f>
        <v>Jaden McDaniels</v>
      </c>
    </row>
    <row r="114" spans="1:12" x14ac:dyDescent="0.25">
      <c r="A114">
        <v>9</v>
      </c>
      <c r="B114">
        <v>15</v>
      </c>
      <c r="C114">
        <v>7</v>
      </c>
      <c r="D114" s="2">
        <v>32000000</v>
      </c>
      <c r="F114" s="2">
        <v>32000000</v>
      </c>
      <c r="H114" s="2">
        <v>32000000</v>
      </c>
      <c r="L114" t="str">
        <f>VLOOKUP(B114,players!A:B,2)</f>
        <v>Jayson Tatum</v>
      </c>
    </row>
    <row r="115" spans="1:12" x14ac:dyDescent="0.25">
      <c r="A115">
        <v>9</v>
      </c>
      <c r="B115">
        <v>26</v>
      </c>
      <c r="C115">
        <v>8</v>
      </c>
      <c r="D115" s="2">
        <v>12500000</v>
      </c>
      <c r="F115" s="2">
        <v>12500000</v>
      </c>
      <c r="H115" s="2">
        <v>12500000</v>
      </c>
      <c r="L115" t="str">
        <f>VLOOKUP(B115,players!A:B,2)</f>
        <v>Jarrett Allen</v>
      </c>
    </row>
    <row r="116" spans="1:12" x14ac:dyDescent="0.25">
      <c r="A116">
        <v>9</v>
      </c>
      <c r="B116">
        <v>89</v>
      </c>
      <c r="C116">
        <v>9</v>
      </c>
      <c r="D116" s="2">
        <v>11500000</v>
      </c>
      <c r="L116" t="str">
        <f>VLOOKUP(B116,players!A:B,2)</f>
        <v>Brandon Ingram</v>
      </c>
    </row>
    <row r="117" spans="1:12" x14ac:dyDescent="0.25">
      <c r="A117">
        <v>9</v>
      </c>
      <c r="B117">
        <v>167</v>
      </c>
      <c r="C117">
        <v>10</v>
      </c>
      <c r="D117" s="2">
        <v>3100000</v>
      </c>
      <c r="F117" s="2">
        <v>3100000</v>
      </c>
      <c r="H117" s="2">
        <v>3100000</v>
      </c>
      <c r="L117" t="str">
        <f>VLOOKUP(B117,players!A:B,2)</f>
        <v>Shaedon Sharpe</v>
      </c>
    </row>
    <row r="118" spans="1:12" x14ac:dyDescent="0.25">
      <c r="A118">
        <v>9</v>
      </c>
      <c r="B118">
        <v>217</v>
      </c>
      <c r="C118">
        <v>11</v>
      </c>
      <c r="D118" s="2">
        <v>25000000</v>
      </c>
      <c r="L118" t="str">
        <f>VLOOKUP(B118,players!A:B,2)</f>
        <v>Stephen Curry</v>
      </c>
    </row>
    <row r="119" spans="1:12" x14ac:dyDescent="0.25">
      <c r="A119">
        <v>9</v>
      </c>
      <c r="B119">
        <v>331</v>
      </c>
      <c r="C119">
        <v>12</v>
      </c>
      <c r="D119" s="2">
        <v>12000000</v>
      </c>
      <c r="F119" s="2">
        <v>12000000</v>
      </c>
      <c r="H119" s="2">
        <v>12000000</v>
      </c>
      <c r="L119" t="str">
        <f>VLOOKUP(B119,players!A:B,2)</f>
        <v>Darius Garland</v>
      </c>
    </row>
    <row r="120" spans="1:12" x14ac:dyDescent="0.25">
      <c r="A120">
        <v>10</v>
      </c>
      <c r="B120">
        <v>9</v>
      </c>
      <c r="C120">
        <v>1</v>
      </c>
      <c r="L120" t="str">
        <f>VLOOKUP(B120,players!A:B,2)</f>
        <v>Walker Kessler</v>
      </c>
    </row>
    <row r="121" spans="1:12" x14ac:dyDescent="0.25">
      <c r="A121">
        <v>10</v>
      </c>
      <c r="B121">
        <v>373</v>
      </c>
      <c r="C121">
        <v>2</v>
      </c>
      <c r="L121" t="str">
        <f>VLOOKUP(B121,players!A:B,2)</f>
        <v>Malik Monk</v>
      </c>
    </row>
    <row r="122" spans="1:12" x14ac:dyDescent="0.25">
      <c r="A122">
        <v>10</v>
      </c>
      <c r="B122">
        <v>249</v>
      </c>
      <c r="C122">
        <v>3</v>
      </c>
      <c r="L122" t="str">
        <f>VLOOKUP(B122,players!A:B,2)</f>
        <v>Ajay Mitchell</v>
      </c>
    </row>
    <row r="123" spans="1:12" x14ac:dyDescent="0.25">
      <c r="A123">
        <v>10</v>
      </c>
      <c r="B123">
        <v>169</v>
      </c>
      <c r="C123">
        <v>4</v>
      </c>
      <c r="D123" s="2">
        <v>4100000</v>
      </c>
      <c r="L123" t="str">
        <f>VLOOKUP(B123,players!A:B,2)</f>
        <v>Bilal Coulibaly</v>
      </c>
    </row>
    <row r="124" spans="1:12" x14ac:dyDescent="0.25">
      <c r="A124">
        <v>10</v>
      </c>
      <c r="B124">
        <v>34</v>
      </c>
      <c r="C124">
        <v>5</v>
      </c>
      <c r="D124" s="2">
        <v>6000000</v>
      </c>
      <c r="F124" s="2">
        <v>6000000</v>
      </c>
      <c r="L124" t="str">
        <f>VLOOKUP(B124,players!A:B,2)</f>
        <v>Mark Williams</v>
      </c>
    </row>
    <row r="125" spans="1:12" x14ac:dyDescent="0.25">
      <c r="A125">
        <v>10</v>
      </c>
      <c r="B125">
        <v>168</v>
      </c>
      <c r="C125">
        <v>6</v>
      </c>
      <c r="D125" s="2">
        <v>1000000</v>
      </c>
      <c r="L125" t="str">
        <f>VLOOKUP(B125,players!A:B,2)</f>
        <v>GG Jackson II</v>
      </c>
    </row>
    <row r="126" spans="1:12" x14ac:dyDescent="0.25">
      <c r="A126">
        <v>10</v>
      </c>
      <c r="B126">
        <v>28</v>
      </c>
      <c r="C126">
        <v>7</v>
      </c>
      <c r="L126" t="str">
        <f>VLOOKUP(B126,players!A:B,2)</f>
        <v>Nikola Vučević</v>
      </c>
    </row>
    <row r="127" spans="1:12" x14ac:dyDescent="0.25">
      <c r="A127">
        <v>10</v>
      </c>
      <c r="B127">
        <v>44</v>
      </c>
      <c r="C127">
        <v>8</v>
      </c>
      <c r="D127" s="2">
        <v>9250000</v>
      </c>
      <c r="F127" s="2">
        <v>10000000</v>
      </c>
      <c r="G127" s="2" t="s">
        <v>472</v>
      </c>
      <c r="L127" t="str">
        <f>VLOOKUP(B127,players!A:B,2)</f>
        <v>Alex Sarr</v>
      </c>
    </row>
    <row r="128" spans="1:12" x14ac:dyDescent="0.25">
      <c r="A128">
        <v>10</v>
      </c>
      <c r="B128">
        <v>60</v>
      </c>
      <c r="C128">
        <v>9</v>
      </c>
      <c r="D128" s="2">
        <v>15000000</v>
      </c>
      <c r="F128" s="2">
        <v>15000000</v>
      </c>
      <c r="H128" s="2">
        <v>15000000</v>
      </c>
      <c r="L128" t="str">
        <f>VLOOKUP(B128,players!A:B,2)</f>
        <v>Julius Randle</v>
      </c>
    </row>
    <row r="129" spans="1:12" x14ac:dyDescent="0.25">
      <c r="A129">
        <v>10</v>
      </c>
      <c r="B129">
        <v>153</v>
      </c>
      <c r="C129">
        <v>10</v>
      </c>
      <c r="D129" s="2">
        <v>11000000</v>
      </c>
      <c r="F129" s="2">
        <v>11000000</v>
      </c>
      <c r="L129" t="str">
        <f>VLOOKUP(B129,players!A:B,2)</f>
        <v>Jalen Williams</v>
      </c>
    </row>
    <row r="130" spans="1:12" x14ac:dyDescent="0.25">
      <c r="A130">
        <v>10</v>
      </c>
      <c r="B130">
        <v>160</v>
      </c>
      <c r="C130">
        <v>11</v>
      </c>
      <c r="D130" s="2">
        <v>16000000</v>
      </c>
      <c r="F130" s="2">
        <v>16000000</v>
      </c>
      <c r="H130" s="2">
        <v>16000000</v>
      </c>
      <c r="L130" t="str">
        <f>VLOOKUP(B130,players!A:B,2)</f>
        <v>Jamal Murray</v>
      </c>
    </row>
    <row r="131" spans="1:12" x14ac:dyDescent="0.25">
      <c r="A131">
        <v>10</v>
      </c>
      <c r="B131">
        <v>246</v>
      </c>
      <c r="C131">
        <v>12</v>
      </c>
      <c r="D131" s="2">
        <v>24000000</v>
      </c>
      <c r="L131" t="str">
        <f>VLOOKUP(B131,players!A:B,2)</f>
        <v>Jalen Brunson</v>
      </c>
    </row>
    <row r="132" spans="1:12" x14ac:dyDescent="0.25">
      <c r="A132">
        <v>11</v>
      </c>
      <c r="B132">
        <v>327</v>
      </c>
      <c r="C132">
        <v>1</v>
      </c>
      <c r="L132" t="str">
        <f>VLOOKUP(B132,players!A:B,2)</f>
        <v>Cole Anthony</v>
      </c>
    </row>
    <row r="133" spans="1:12" x14ac:dyDescent="0.25">
      <c r="A133">
        <v>11</v>
      </c>
      <c r="B133">
        <v>213</v>
      </c>
      <c r="C133">
        <v>2</v>
      </c>
      <c r="L133" t="str">
        <f>VLOOKUP(B133,players!A:B,2)</f>
        <v>Khris Middleton</v>
      </c>
    </row>
    <row r="134" spans="1:12" x14ac:dyDescent="0.25">
      <c r="A134">
        <v>11</v>
      </c>
      <c r="B134">
        <v>111</v>
      </c>
      <c r="C134">
        <v>3</v>
      </c>
      <c r="D134" s="2">
        <v>1000000</v>
      </c>
      <c r="L134" t="str">
        <f>VLOOKUP(B134,players!A:B,2)</f>
        <v>John Collins</v>
      </c>
    </row>
    <row r="135" spans="1:12" x14ac:dyDescent="0.25">
      <c r="A135">
        <v>11</v>
      </c>
      <c r="B135">
        <v>58</v>
      </c>
      <c r="C135">
        <v>4</v>
      </c>
      <c r="L135" t="str">
        <f>VLOOKUP(B135,players!A:B,2)</f>
        <v>Daniel Gafford</v>
      </c>
    </row>
    <row r="136" spans="1:12" x14ac:dyDescent="0.25">
      <c r="A136">
        <v>11</v>
      </c>
      <c r="B136">
        <v>18</v>
      </c>
      <c r="C136">
        <v>5</v>
      </c>
      <c r="D136" s="2">
        <v>1000000</v>
      </c>
      <c r="L136" t="str">
        <f>VLOOKUP(B136,players!A:B,2)</f>
        <v>Isaiah Hartenstein</v>
      </c>
    </row>
    <row r="137" spans="1:12" x14ac:dyDescent="0.25">
      <c r="A137">
        <v>11</v>
      </c>
      <c r="B137">
        <v>63</v>
      </c>
      <c r="C137">
        <v>6</v>
      </c>
      <c r="L137" t="str">
        <f>VLOOKUP(B137,players!A:B,2)</f>
        <v>Jalen Smith</v>
      </c>
    </row>
    <row r="138" spans="1:12" x14ac:dyDescent="0.25">
      <c r="A138">
        <v>11</v>
      </c>
      <c r="B138">
        <v>6</v>
      </c>
      <c r="C138">
        <v>7</v>
      </c>
      <c r="D138" s="2">
        <v>26000000</v>
      </c>
      <c r="L138" t="str">
        <f>VLOOKUP(B138,players!A:B,2)</f>
        <v>Domantas Sabonis</v>
      </c>
    </row>
    <row r="139" spans="1:12" x14ac:dyDescent="0.25">
      <c r="A139">
        <v>11</v>
      </c>
      <c r="B139">
        <v>177</v>
      </c>
      <c r="C139">
        <v>8</v>
      </c>
      <c r="D139" s="2">
        <v>15000000</v>
      </c>
      <c r="L139" t="str">
        <f>VLOOKUP(B139,players!A:B,2)</f>
        <v>Desmond Bane</v>
      </c>
    </row>
    <row r="140" spans="1:12" x14ac:dyDescent="0.25">
      <c r="A140">
        <v>11</v>
      </c>
      <c r="B140">
        <v>35</v>
      </c>
      <c r="C140">
        <v>9</v>
      </c>
      <c r="D140" s="2">
        <v>7500000</v>
      </c>
      <c r="L140" t="str">
        <f>VLOOKUP(B140,players!A:B,2)</f>
        <v>Amen Thompson</v>
      </c>
    </row>
    <row r="141" spans="1:12" x14ac:dyDescent="0.25">
      <c r="A141">
        <v>11</v>
      </c>
      <c r="B141">
        <v>166</v>
      </c>
      <c r="C141">
        <v>10</v>
      </c>
      <c r="D141" s="2">
        <v>30000000</v>
      </c>
      <c r="F141" s="2">
        <v>30000000</v>
      </c>
      <c r="H141" s="2">
        <v>30000000</v>
      </c>
      <c r="L141" t="str">
        <f>VLOOKUP(B141,players!A:B,2)</f>
        <v>Shai Gilgeous-Alexander</v>
      </c>
    </row>
    <row r="142" spans="1:12" x14ac:dyDescent="0.25">
      <c r="A142">
        <v>11</v>
      </c>
      <c r="B142">
        <v>248</v>
      </c>
      <c r="C142">
        <v>11</v>
      </c>
      <c r="D142" s="2">
        <v>1000000</v>
      </c>
      <c r="L142" t="str">
        <f>VLOOKUP(B142,players!A:B,2)</f>
        <v>CJ McCollum</v>
      </c>
    </row>
    <row r="143" spans="1:12" x14ac:dyDescent="0.25">
      <c r="A143">
        <v>11</v>
      </c>
      <c r="B143">
        <v>109</v>
      </c>
      <c r="C143">
        <v>12</v>
      </c>
      <c r="L143" t="str">
        <f>VLOOKUP(B143,players!A:B,2)</f>
        <v>Paul George</v>
      </c>
    </row>
    <row r="144" spans="1:12" x14ac:dyDescent="0.25">
      <c r="A144">
        <v>11</v>
      </c>
      <c r="B144">
        <v>266</v>
      </c>
      <c r="C144">
        <v>13</v>
      </c>
      <c r="L144" t="str">
        <f>VLOOKUP(B144,players!A:B,2)</f>
        <v>Moritz Wagner</v>
      </c>
    </row>
    <row r="145" spans="1:12" x14ac:dyDescent="0.25">
      <c r="A145">
        <v>11</v>
      </c>
      <c r="B145">
        <v>195</v>
      </c>
      <c r="C145">
        <v>14</v>
      </c>
      <c r="L145" t="str">
        <f>VLOOKUP(B145,players!A:B,2)</f>
        <v>Payton Pritchard</v>
      </c>
    </row>
    <row r="146" spans="1:12" x14ac:dyDescent="0.25">
      <c r="A146">
        <v>12</v>
      </c>
      <c r="B146">
        <v>403</v>
      </c>
      <c r="C146">
        <v>1</v>
      </c>
      <c r="D146" s="2">
        <v>5000000</v>
      </c>
      <c r="F146" s="2">
        <v>5000000</v>
      </c>
      <c r="L146" t="str">
        <f>VLOOKUP(B146,players!A:B,2)</f>
        <v>Bradley Beal</v>
      </c>
    </row>
    <row r="147" spans="1:12" x14ac:dyDescent="0.25">
      <c r="A147">
        <v>12</v>
      </c>
      <c r="B147">
        <v>345</v>
      </c>
      <c r="C147">
        <v>2</v>
      </c>
      <c r="D147" s="2">
        <v>3500000</v>
      </c>
      <c r="F147" s="2">
        <v>3500000</v>
      </c>
      <c r="L147" t="str">
        <f>VLOOKUP(B147,players!A:B,2)</f>
        <v>Buddy Hield</v>
      </c>
    </row>
    <row r="148" spans="1:12" x14ac:dyDescent="0.25">
      <c r="A148">
        <v>12</v>
      </c>
      <c r="B148">
        <v>120</v>
      </c>
      <c r="C148">
        <v>3</v>
      </c>
      <c r="D148" s="2">
        <v>1000000</v>
      </c>
      <c r="L148" t="str">
        <f>VLOOKUP(B148,players!A:B,2)</f>
        <v>Brandin Podziemski</v>
      </c>
    </row>
    <row r="149" spans="1:12" x14ac:dyDescent="0.25">
      <c r="A149">
        <v>12</v>
      </c>
      <c r="B149">
        <v>22</v>
      </c>
      <c r="C149">
        <v>4</v>
      </c>
      <c r="L149" t="str">
        <f>VLOOKUP(B149,players!A:B,2)</f>
        <v>Chet Holmgren</v>
      </c>
    </row>
    <row r="150" spans="1:12" x14ac:dyDescent="0.25">
      <c r="A150">
        <v>12</v>
      </c>
      <c r="B150">
        <v>54</v>
      </c>
      <c r="C150">
        <v>5</v>
      </c>
      <c r="D150" s="2">
        <v>11000000</v>
      </c>
      <c r="L150" t="str">
        <f>VLOOKUP(B150,players!A:B,2)</f>
        <v>Lauri Markkanen</v>
      </c>
    </row>
    <row r="151" spans="1:12" x14ac:dyDescent="0.25">
      <c r="A151">
        <v>12</v>
      </c>
      <c r="B151">
        <v>194</v>
      </c>
      <c r="C151">
        <v>6</v>
      </c>
      <c r="D151" s="2">
        <v>20000000</v>
      </c>
      <c r="F151" s="2">
        <v>20000000</v>
      </c>
      <c r="L151" t="str">
        <f>VLOOKUP(B151,players!A:B,2)</f>
        <v>Devin Booker</v>
      </c>
    </row>
    <row r="152" spans="1:12" x14ac:dyDescent="0.25">
      <c r="A152">
        <v>12</v>
      </c>
      <c r="B152">
        <v>226</v>
      </c>
      <c r="C152">
        <v>7</v>
      </c>
      <c r="D152" s="2">
        <v>18000000</v>
      </c>
      <c r="F152" s="2">
        <v>18000000</v>
      </c>
      <c r="H152" s="2">
        <v>18000000</v>
      </c>
      <c r="L152" t="str">
        <f>VLOOKUP(B152,players!A:B,2)</f>
        <v>Tyrese Haliburton</v>
      </c>
    </row>
    <row r="153" spans="1:12" x14ac:dyDescent="0.25">
      <c r="A153">
        <v>12</v>
      </c>
      <c r="B153">
        <v>115</v>
      </c>
      <c r="C153">
        <v>8</v>
      </c>
      <c r="D153" s="2">
        <v>2500000</v>
      </c>
      <c r="L153" t="str">
        <f>VLOOKUP(B153,players!A:B,2)</f>
        <v>Kevin Porter Jr.</v>
      </c>
    </row>
    <row r="154" spans="1:12" x14ac:dyDescent="0.25">
      <c r="A154">
        <v>13</v>
      </c>
      <c r="B154">
        <v>307</v>
      </c>
      <c r="C154">
        <v>1</v>
      </c>
      <c r="D154" s="2">
        <v>1000000</v>
      </c>
      <c r="L154" t="str">
        <f>VLOOKUP(B154,players!A:B,2)</f>
        <v>Davion Mitchell</v>
      </c>
    </row>
    <row r="155" spans="1:12" x14ac:dyDescent="0.25">
      <c r="A155">
        <v>13</v>
      </c>
      <c r="B155">
        <v>363</v>
      </c>
      <c r="C155">
        <v>2</v>
      </c>
      <c r="L155" t="str">
        <f>VLOOKUP(B155,players!A:B,2)</f>
        <v>Jordan Poole</v>
      </c>
    </row>
    <row r="156" spans="1:12" x14ac:dyDescent="0.25">
      <c r="A156">
        <v>13</v>
      </c>
      <c r="B156">
        <v>296</v>
      </c>
      <c r="C156">
        <v>3</v>
      </c>
      <c r="D156" s="2">
        <v>3000000</v>
      </c>
      <c r="L156" t="str">
        <f>VLOOKUP(B156,players!A:B,2)</f>
        <v>Andrew Nembhard</v>
      </c>
    </row>
    <row r="157" spans="1:12" x14ac:dyDescent="0.25">
      <c r="A157">
        <v>13</v>
      </c>
      <c r="B157">
        <v>171</v>
      </c>
      <c r="C157">
        <v>4</v>
      </c>
      <c r="D157" s="2">
        <v>2000000</v>
      </c>
      <c r="L157" t="str">
        <f>VLOOKUP(B157,players!A:B,2)</f>
        <v>Aaron Nesmith</v>
      </c>
    </row>
    <row r="158" spans="1:12" x14ac:dyDescent="0.25">
      <c r="A158">
        <v>13</v>
      </c>
      <c r="B158">
        <v>10</v>
      </c>
      <c r="C158">
        <v>5</v>
      </c>
      <c r="L158" t="str">
        <f>VLOOKUP(B158,players!A:B,2)</f>
        <v>Ivica Zubac</v>
      </c>
    </row>
    <row r="159" spans="1:12" x14ac:dyDescent="0.25">
      <c r="A159">
        <v>13</v>
      </c>
      <c r="B159">
        <v>46</v>
      </c>
      <c r="C159">
        <v>6</v>
      </c>
      <c r="L159" t="str">
        <f>VLOOKUP(B159,players!A:B,2)</f>
        <v>Wendell Carter Jr.</v>
      </c>
    </row>
    <row r="160" spans="1:12" x14ac:dyDescent="0.25">
      <c r="A160">
        <v>13</v>
      </c>
      <c r="B160">
        <v>4</v>
      </c>
      <c r="C160">
        <v>7</v>
      </c>
      <c r="D160" s="2">
        <v>11500000</v>
      </c>
      <c r="L160" t="str">
        <f>VLOOKUP(B160,players!A:B,2)</f>
        <v>Victor Wembanyama</v>
      </c>
    </row>
    <row r="161" spans="1:12" x14ac:dyDescent="0.25">
      <c r="A161">
        <v>13</v>
      </c>
      <c r="B161">
        <v>32</v>
      </c>
      <c r="C161">
        <v>8</v>
      </c>
      <c r="D161" s="2">
        <v>16000000</v>
      </c>
      <c r="F161" s="2">
        <v>16000000</v>
      </c>
      <c r="H161" s="2">
        <v>16000000</v>
      </c>
      <c r="L161" t="str">
        <f>VLOOKUP(B161,players!A:B,2)</f>
        <v>Josh Giddey</v>
      </c>
    </row>
    <row r="162" spans="1:12" x14ac:dyDescent="0.25">
      <c r="A162">
        <v>13</v>
      </c>
      <c r="B162">
        <v>55</v>
      </c>
      <c r="C162">
        <v>9</v>
      </c>
      <c r="D162" s="2">
        <v>12000000</v>
      </c>
      <c r="F162" s="2">
        <v>12000000</v>
      </c>
      <c r="H162" s="2">
        <v>12000000</v>
      </c>
      <c r="L162" t="str">
        <f>VLOOKUP(B162,players!A:B,2)</f>
        <v>Deni Avdija</v>
      </c>
    </row>
    <row r="163" spans="1:12" x14ac:dyDescent="0.25">
      <c r="A163">
        <v>13</v>
      </c>
      <c r="B163">
        <v>66</v>
      </c>
      <c r="C163">
        <v>10</v>
      </c>
      <c r="D163" s="2">
        <v>19000000</v>
      </c>
      <c r="L163" t="str">
        <f>VLOOKUP(B163,players!A:B,2)</f>
        <v>Pascal Siakam</v>
      </c>
    </row>
    <row r="164" spans="1:12" x14ac:dyDescent="0.25">
      <c r="A164">
        <v>13</v>
      </c>
      <c r="B164">
        <v>94</v>
      </c>
      <c r="C164">
        <v>11</v>
      </c>
      <c r="D164" s="2">
        <v>1000000</v>
      </c>
      <c r="L164" t="str">
        <f>VLOOKUP(B164,players!A:B,2)</f>
        <v>Zach Collins</v>
      </c>
    </row>
    <row r="165" spans="1:12" x14ac:dyDescent="0.25">
      <c r="A165">
        <v>13</v>
      </c>
      <c r="B165">
        <v>150</v>
      </c>
      <c r="C165">
        <v>12</v>
      </c>
      <c r="D165" s="2">
        <v>6000000</v>
      </c>
      <c r="F165" s="2">
        <v>6000000</v>
      </c>
      <c r="H165" s="2">
        <v>6000000</v>
      </c>
      <c r="L165" t="str">
        <f>VLOOKUP(B165,players!A:B,2)</f>
        <v>Austin Reaves</v>
      </c>
    </row>
    <row r="166" spans="1:12" x14ac:dyDescent="0.25">
      <c r="A166">
        <v>14</v>
      </c>
      <c r="B166">
        <v>317</v>
      </c>
      <c r="C166">
        <v>1</v>
      </c>
      <c r="L166" t="str">
        <f>VLOOKUP(B166,players!A:B,2)</f>
        <v>Anfernee Simons</v>
      </c>
    </row>
    <row r="167" spans="1:12" x14ac:dyDescent="0.25">
      <c r="A167">
        <v>14</v>
      </c>
      <c r="B167">
        <v>299</v>
      </c>
      <c r="C167">
        <v>2</v>
      </c>
      <c r="L167" t="str">
        <f>VLOOKUP(B167,players!A:B,2)</f>
        <v>Marcus Smart</v>
      </c>
    </row>
    <row r="168" spans="1:12" x14ac:dyDescent="0.25">
      <c r="A168">
        <v>14</v>
      </c>
      <c r="B168">
        <v>129</v>
      </c>
      <c r="C168">
        <v>3</v>
      </c>
      <c r="L168" t="str">
        <f>VLOOKUP(B168,players!A:B,2)</f>
        <v>Jaime Jaquez Jr.</v>
      </c>
    </row>
    <row r="169" spans="1:12" x14ac:dyDescent="0.25">
      <c r="A169">
        <v>14</v>
      </c>
      <c r="B169">
        <v>90</v>
      </c>
      <c r="C169">
        <v>4</v>
      </c>
      <c r="L169" t="str">
        <f>VLOOKUP(B169,players!A:B,2)</f>
        <v>Jimmy Butler</v>
      </c>
    </row>
    <row r="170" spans="1:12" x14ac:dyDescent="0.25">
      <c r="A170">
        <v>14</v>
      </c>
      <c r="B170">
        <v>24</v>
      </c>
      <c r="C170">
        <v>5</v>
      </c>
      <c r="D170" s="2">
        <v>1000000</v>
      </c>
      <c r="L170" t="str">
        <f>VLOOKUP(B170,players!A:B,2)</f>
        <v>Moussa Diabaté</v>
      </c>
    </row>
    <row r="171" spans="1:12" x14ac:dyDescent="0.25">
      <c r="A171">
        <v>14</v>
      </c>
      <c r="B171">
        <v>238</v>
      </c>
      <c r="C171">
        <v>6</v>
      </c>
      <c r="D171" s="2">
        <v>3000000</v>
      </c>
      <c r="L171" t="str">
        <f>VLOOKUP(B171,players!A:B,2)</f>
        <v>Coby White</v>
      </c>
    </row>
    <row r="172" spans="1:12" x14ac:dyDescent="0.25">
      <c r="A172">
        <v>14</v>
      </c>
      <c r="B172">
        <v>19</v>
      </c>
      <c r="C172">
        <v>7</v>
      </c>
      <c r="D172" s="2">
        <v>20500000</v>
      </c>
      <c r="F172" s="2">
        <v>20500000</v>
      </c>
      <c r="H172" s="2">
        <v>20500000</v>
      </c>
      <c r="L172" t="str">
        <f>VLOOKUP(B172,players!A:B,2)</f>
        <v>Evan Mobley</v>
      </c>
    </row>
    <row r="173" spans="1:12" x14ac:dyDescent="0.25">
      <c r="A173">
        <v>14</v>
      </c>
      <c r="B173">
        <v>73</v>
      </c>
      <c r="C173">
        <v>8</v>
      </c>
      <c r="D173" s="2">
        <v>19500000</v>
      </c>
      <c r="L173" t="str">
        <f>VLOOKUP(B173,players!A:B,2)</f>
        <v>LeBron James</v>
      </c>
    </row>
    <row r="174" spans="1:12" x14ac:dyDescent="0.25">
      <c r="A174">
        <v>14</v>
      </c>
      <c r="B174">
        <v>61</v>
      </c>
      <c r="C174">
        <v>9</v>
      </c>
      <c r="D174" s="2">
        <v>9500000</v>
      </c>
      <c r="F174" s="2">
        <v>10500000</v>
      </c>
      <c r="G174" s="2" t="s">
        <v>472</v>
      </c>
      <c r="H174" s="2">
        <v>11500000</v>
      </c>
      <c r="I174" s="2" t="s">
        <v>472</v>
      </c>
      <c r="L174" t="str">
        <f>VLOOKUP(B174,players!A:B,2)</f>
        <v>Cooper Flagg</v>
      </c>
    </row>
    <row r="175" spans="1:12" x14ac:dyDescent="0.25">
      <c r="A175">
        <v>14</v>
      </c>
      <c r="B175">
        <v>2</v>
      </c>
      <c r="C175">
        <v>10</v>
      </c>
      <c r="L175" t="str">
        <f>VLOOKUP(B175,players!A:B,2)</f>
        <v>Karl-Anthony Towns</v>
      </c>
    </row>
    <row r="176" spans="1:12" x14ac:dyDescent="0.25">
      <c r="A176">
        <v>14</v>
      </c>
      <c r="B176">
        <v>220</v>
      </c>
      <c r="C176">
        <v>11</v>
      </c>
      <c r="L176" t="str">
        <f>VLOOKUP(B176,players!A:B,2)</f>
        <v>Quentin Grimes</v>
      </c>
    </row>
    <row r="177" spans="1:12" x14ac:dyDescent="0.25">
      <c r="A177">
        <v>14</v>
      </c>
      <c r="B177">
        <v>145</v>
      </c>
      <c r="C177">
        <v>12</v>
      </c>
      <c r="D177" s="2">
        <v>20000000</v>
      </c>
      <c r="F177" s="2">
        <v>20000000</v>
      </c>
      <c r="H177" s="2">
        <v>20000000</v>
      </c>
      <c r="L177" t="str">
        <f>VLOOKUP(B177,players!A:B,2)</f>
        <v>LaMelo Ball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32"/>
  <sheetViews>
    <sheetView workbookViewId="0">
      <selection activeCell="N15" sqref="N15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472</v>
      </c>
      <c r="H6" s="2">
        <v>5500000</v>
      </c>
      <c r="I6" s="2" t="s">
        <v>472</v>
      </c>
      <c r="J6" s="2"/>
      <c r="K6" s="2"/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 s="2">
        <v>1000000</v>
      </c>
      <c r="E7" s="2"/>
      <c r="F7" s="2">
        <v>1000000</v>
      </c>
      <c r="G7" s="2" t="s">
        <v>472</v>
      </c>
      <c r="H7" s="2">
        <v>1000000</v>
      </c>
      <c r="I7" s="2" t="s">
        <v>472</v>
      </c>
      <c r="J7" s="2"/>
      <c r="K7" s="2"/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 s="2">
        <v>1000000</v>
      </c>
      <c r="E8" s="2"/>
      <c r="F8" s="2">
        <v>1000000</v>
      </c>
      <c r="G8" s="2" t="s">
        <v>472</v>
      </c>
      <c r="H8" s="2"/>
      <c r="I8" s="2"/>
      <c r="J8" s="2"/>
      <c r="K8" s="2"/>
      <c r="L8" t="str">
        <f>VLOOKUP(B8,players!A:B,2)</f>
        <v>Johnny Furphy</v>
      </c>
    </row>
    <row r="9" spans="1:12" x14ac:dyDescent="0.25">
      <c r="A9">
        <v>3</v>
      </c>
      <c r="B9">
        <v>377</v>
      </c>
      <c r="C9">
        <v>1</v>
      </c>
      <c r="D9" s="2">
        <v>1000000</v>
      </c>
      <c r="E9" s="2"/>
      <c r="F9" s="2">
        <v>1000000</v>
      </c>
      <c r="G9" s="2" t="s">
        <v>472</v>
      </c>
      <c r="H9" s="2">
        <v>1000000</v>
      </c>
      <c r="I9" s="2" t="s">
        <v>472</v>
      </c>
      <c r="J9" s="2"/>
      <c r="K9" s="2"/>
      <c r="L9" t="str">
        <f>VLOOKUP(B9,players!A:B,2)</f>
        <v>Nikola Topić</v>
      </c>
    </row>
    <row r="10" spans="1:12" x14ac:dyDescent="0.25">
      <c r="A10">
        <v>3</v>
      </c>
      <c r="B10">
        <v>408</v>
      </c>
      <c r="C10">
        <v>2</v>
      </c>
      <c r="D10" s="2">
        <v>3400000</v>
      </c>
      <c r="E10" s="2"/>
      <c r="F10" s="2">
        <v>3700000</v>
      </c>
      <c r="G10" s="2" t="s">
        <v>472</v>
      </c>
      <c r="H10" s="2"/>
      <c r="I10" s="2"/>
      <c r="J10" s="2"/>
      <c r="K10" s="2"/>
      <c r="L10" t="str">
        <f>VLOOKUP(B10,players!A:B,2)</f>
        <v>Jase Richardson</v>
      </c>
    </row>
    <row r="11" spans="1:12" x14ac:dyDescent="0.25">
      <c r="A11">
        <v>5</v>
      </c>
      <c r="B11">
        <v>92</v>
      </c>
      <c r="C11">
        <v>1</v>
      </c>
      <c r="D11" s="2">
        <v>6500000</v>
      </c>
      <c r="E11" s="2"/>
      <c r="F11" s="2">
        <v>7000000</v>
      </c>
      <c r="G11" s="2" t="s">
        <v>472</v>
      </c>
      <c r="H11" s="2">
        <v>7500000</v>
      </c>
      <c r="I11" s="2" t="s">
        <v>472</v>
      </c>
      <c r="J11" s="2"/>
      <c r="K11" s="2"/>
      <c r="L11" t="str">
        <f>VLOOKUP(B11,players!A:B,2)</f>
        <v>VJ Edgecombe</v>
      </c>
    </row>
    <row r="12" spans="1:12" x14ac:dyDescent="0.25">
      <c r="A12">
        <v>5</v>
      </c>
      <c r="B12">
        <v>139</v>
      </c>
      <c r="C12">
        <v>2</v>
      </c>
      <c r="D12" s="2">
        <v>1000000</v>
      </c>
      <c r="E12" s="2"/>
      <c r="F12" s="2">
        <v>1000000</v>
      </c>
      <c r="G12" s="2" t="s">
        <v>472</v>
      </c>
      <c r="H12" s="2">
        <v>1000000</v>
      </c>
      <c r="I12" s="2" t="s">
        <v>472</v>
      </c>
      <c r="J12" s="2"/>
      <c r="K12" s="2"/>
      <c r="L12" t="str">
        <f>VLOOKUP(B12,players!A:B,2)</f>
        <v>Danny Wolf</v>
      </c>
    </row>
    <row r="13" spans="1:12" x14ac:dyDescent="0.25">
      <c r="A13">
        <v>5</v>
      </c>
      <c r="B13">
        <v>209</v>
      </c>
      <c r="C13">
        <v>3</v>
      </c>
      <c r="D13" s="2">
        <v>1000000</v>
      </c>
      <c r="E13" s="2"/>
      <c r="F13" s="2">
        <v>1000000</v>
      </c>
      <c r="G13" s="2" t="s">
        <v>472</v>
      </c>
      <c r="H13" s="2">
        <v>1000000</v>
      </c>
      <c r="I13" s="2" t="s">
        <v>472</v>
      </c>
      <c r="J13" s="2"/>
      <c r="K13" s="2"/>
      <c r="L13" t="str">
        <f>VLOOKUP(B13,players!A:B,2)</f>
        <v>Nique Clifford</v>
      </c>
    </row>
    <row r="14" spans="1:12" x14ac:dyDescent="0.25">
      <c r="A14">
        <v>5</v>
      </c>
      <c r="B14">
        <v>409</v>
      </c>
      <c r="C14">
        <v>4</v>
      </c>
      <c r="D14" s="2">
        <v>4000000</v>
      </c>
      <c r="E14" s="2"/>
      <c r="F14" s="2">
        <v>4200000</v>
      </c>
      <c r="G14" s="2" t="s">
        <v>472</v>
      </c>
      <c r="H14" s="2">
        <v>4500000</v>
      </c>
      <c r="I14" s="2" t="s">
        <v>472</v>
      </c>
      <c r="J14" s="2"/>
      <c r="K14" s="2"/>
      <c r="L14" t="str">
        <f>VLOOKUP(B14,players!A:B,2)</f>
        <v>Hansen Yang</v>
      </c>
    </row>
    <row r="15" spans="1:12" x14ac:dyDescent="0.25">
      <c r="A15">
        <v>6</v>
      </c>
      <c r="B15">
        <v>192</v>
      </c>
      <c r="C15">
        <v>1</v>
      </c>
      <c r="D15" s="2">
        <v>3200000</v>
      </c>
      <c r="E15" s="2"/>
      <c r="F15" s="2">
        <v>3500000</v>
      </c>
      <c r="G15" s="2" t="s">
        <v>472</v>
      </c>
      <c r="H15" s="2"/>
      <c r="I15" s="2"/>
      <c r="J15" s="2"/>
      <c r="K15" s="2"/>
      <c r="L15" t="str">
        <f>VLOOKUP(B15,players!A:B,2)</f>
        <v>Tidjane Salaün</v>
      </c>
    </row>
    <row r="16" spans="1:12" x14ac:dyDescent="0.25">
      <c r="A16">
        <v>8</v>
      </c>
      <c r="B16">
        <v>47</v>
      </c>
      <c r="C16">
        <v>1</v>
      </c>
      <c r="D16" s="2">
        <v>1000000</v>
      </c>
      <c r="E16" s="2"/>
      <c r="F16" s="2">
        <v>1000000</v>
      </c>
      <c r="G16" s="2" t="s">
        <v>472</v>
      </c>
      <c r="H16" s="2"/>
      <c r="I16" s="2"/>
      <c r="J16" s="2"/>
      <c r="K16" s="2"/>
      <c r="L16" t="str">
        <f>VLOOKUP(B16,players!A:B,2)</f>
        <v>Kyle Filipowski</v>
      </c>
    </row>
    <row r="17" spans="1:12" x14ac:dyDescent="0.25">
      <c r="A17">
        <v>9</v>
      </c>
      <c r="B17">
        <v>108</v>
      </c>
      <c r="C17">
        <v>1</v>
      </c>
      <c r="D17" s="2">
        <v>5000000</v>
      </c>
      <c r="E17" s="2"/>
      <c r="F17" s="2">
        <v>5500000</v>
      </c>
      <c r="G17" s="2" t="s">
        <v>472</v>
      </c>
      <c r="H17" s="2">
        <v>6000000</v>
      </c>
      <c r="I17" s="2" t="s">
        <v>472</v>
      </c>
      <c r="J17" s="2"/>
      <c r="K17" s="2"/>
      <c r="L17" t="str">
        <f>VLOOKUP(B17,players!A:B,2)</f>
        <v>Kon Knueppel</v>
      </c>
    </row>
    <row r="18" spans="1:12" x14ac:dyDescent="0.25">
      <c r="A18">
        <v>9</v>
      </c>
      <c r="B18">
        <v>123</v>
      </c>
      <c r="C18">
        <v>2</v>
      </c>
      <c r="D18" s="2">
        <v>1000000</v>
      </c>
      <c r="E18" s="2"/>
      <c r="F18" s="2">
        <v>1000000</v>
      </c>
      <c r="G18" s="2" t="s">
        <v>472</v>
      </c>
      <c r="H18" s="2"/>
      <c r="I18" s="2"/>
      <c r="J18" s="2"/>
      <c r="K18" s="2"/>
      <c r="L18" t="str">
        <f>VLOOKUP(B18,players!A:B,2)</f>
        <v>Jaylon Tyson</v>
      </c>
    </row>
    <row r="19" spans="1:12" x14ac:dyDescent="0.25">
      <c r="A19">
        <v>9</v>
      </c>
      <c r="B19">
        <v>410</v>
      </c>
      <c r="C19">
        <v>3</v>
      </c>
      <c r="D19" s="2">
        <v>1000000</v>
      </c>
      <c r="E19" s="2"/>
      <c r="F19" s="2">
        <v>1000000</v>
      </c>
      <c r="G19" s="2" t="s">
        <v>472</v>
      </c>
      <c r="H19" s="2"/>
      <c r="I19" s="2"/>
      <c r="J19" s="2"/>
      <c r="K19" s="2"/>
      <c r="L19" t="str">
        <f>VLOOKUP(B19,players!A:B,2)</f>
        <v>Joan Beringer</v>
      </c>
    </row>
    <row r="20" spans="1:12" x14ac:dyDescent="0.25">
      <c r="A20">
        <v>10</v>
      </c>
      <c r="B20">
        <v>297</v>
      </c>
      <c r="C20">
        <v>1</v>
      </c>
      <c r="D20" s="2">
        <v>5500000</v>
      </c>
      <c r="E20" s="2"/>
      <c r="F20" s="2">
        <v>6000000</v>
      </c>
      <c r="G20" s="2" t="s">
        <v>472</v>
      </c>
      <c r="H20" s="2">
        <v>6500000</v>
      </c>
      <c r="I20" s="2" t="s">
        <v>472</v>
      </c>
      <c r="J20" s="2"/>
      <c r="K20" s="2"/>
      <c r="L20" t="str">
        <f>VLOOKUP(B20,players!A:B,2)</f>
        <v>Tre Johnson</v>
      </c>
    </row>
    <row r="21" spans="1:12" x14ac:dyDescent="0.25">
      <c r="A21">
        <v>10</v>
      </c>
      <c r="B21">
        <v>313</v>
      </c>
      <c r="C21">
        <v>2</v>
      </c>
      <c r="D21" s="2">
        <v>1000000</v>
      </c>
      <c r="E21" s="2"/>
      <c r="F21" s="2">
        <v>1000000</v>
      </c>
      <c r="G21" s="2"/>
      <c r="H21" s="2"/>
      <c r="I21" s="2"/>
      <c r="J21" s="2"/>
      <c r="K21" s="2"/>
      <c r="L21" t="str">
        <f>VLOOKUP(B21,players!A:B,2)</f>
        <v>Ja'Kobe Walter</v>
      </c>
    </row>
    <row r="22" spans="1:12" x14ac:dyDescent="0.25">
      <c r="A22">
        <v>10</v>
      </c>
      <c r="B22">
        <v>300</v>
      </c>
      <c r="C22">
        <v>3</v>
      </c>
      <c r="D22" s="2">
        <v>6000000</v>
      </c>
      <c r="E22" s="2"/>
      <c r="F22" s="2"/>
      <c r="G22" s="2"/>
      <c r="H22" s="2"/>
      <c r="I22" s="2"/>
      <c r="J22" s="2"/>
      <c r="K22" s="2"/>
      <c r="L22" t="str">
        <f>VLOOKUP(B22,players!A:B,2)</f>
        <v>Cam Whitmore</v>
      </c>
    </row>
    <row r="23" spans="1:12" x14ac:dyDescent="0.25">
      <c r="A23">
        <v>10</v>
      </c>
      <c r="B23">
        <v>411</v>
      </c>
      <c r="C23">
        <v>4</v>
      </c>
      <c r="D23" s="2">
        <v>1000000</v>
      </c>
      <c r="E23" s="2"/>
      <c r="F23" s="2">
        <v>1000000</v>
      </c>
      <c r="G23" s="2" t="s">
        <v>472</v>
      </c>
      <c r="H23" s="2">
        <v>1000000</v>
      </c>
      <c r="I23" s="2" t="s">
        <v>472</v>
      </c>
      <c r="J23" s="2"/>
      <c r="K23" s="2"/>
      <c r="L23" t="str">
        <f>VLOOKUP(B23,players!A:B,2)</f>
        <v>Thomas Sorber</v>
      </c>
    </row>
    <row r="24" spans="1:12" x14ac:dyDescent="0.25">
      <c r="A24">
        <v>11</v>
      </c>
      <c r="B24">
        <v>412</v>
      </c>
      <c r="C24">
        <v>1</v>
      </c>
      <c r="D24" s="2">
        <v>3200000</v>
      </c>
      <c r="E24" s="2"/>
      <c r="F24" s="2">
        <v>3500000</v>
      </c>
      <c r="G24" s="2" t="s">
        <v>472</v>
      </c>
      <c r="H24" s="2"/>
      <c r="I24" s="2"/>
      <c r="J24" s="2"/>
      <c r="K24" s="2"/>
      <c r="L24" t="str">
        <f>VLOOKUP(B24,players!A:B,2)</f>
        <v>Carter Bryant</v>
      </c>
    </row>
    <row r="25" spans="1:12" x14ac:dyDescent="0.25">
      <c r="A25">
        <v>11</v>
      </c>
      <c r="B25">
        <v>413</v>
      </c>
      <c r="C25">
        <v>2</v>
      </c>
      <c r="D25" s="2">
        <v>3300000</v>
      </c>
      <c r="E25" s="2"/>
      <c r="F25" s="2"/>
      <c r="G25" s="2"/>
      <c r="H25" s="2"/>
      <c r="I25" s="2"/>
      <c r="J25" s="2"/>
      <c r="K25" s="2"/>
      <c r="L25" t="str">
        <f>VLOOKUP(B25,players!A:B,2)</f>
        <v>Dalton Knecht</v>
      </c>
    </row>
    <row r="26" spans="1:12" x14ac:dyDescent="0.25">
      <c r="A26">
        <v>11</v>
      </c>
      <c r="B26">
        <v>189</v>
      </c>
      <c r="C26">
        <v>3</v>
      </c>
      <c r="D26" s="2">
        <v>6000000</v>
      </c>
      <c r="E26" s="2"/>
      <c r="F26" s="2"/>
      <c r="G26" s="2"/>
      <c r="H26" s="2"/>
      <c r="I26" s="2"/>
      <c r="J26" s="2"/>
      <c r="K26" s="2"/>
      <c r="L26" t="str">
        <f>VLOOKUP(B26,players!A:B,2)</f>
        <v>Ron Holland</v>
      </c>
    </row>
    <row r="27" spans="1:12" x14ac:dyDescent="0.25">
      <c r="A27">
        <v>13</v>
      </c>
      <c r="B27">
        <v>252</v>
      </c>
      <c r="C27">
        <v>1</v>
      </c>
      <c r="D27" s="2">
        <v>1000000</v>
      </c>
      <c r="E27" s="2"/>
      <c r="F27" s="2">
        <v>1000000</v>
      </c>
      <c r="G27" s="2" t="s">
        <v>472</v>
      </c>
      <c r="H27" s="2"/>
      <c r="I27" s="2"/>
      <c r="J27" s="2"/>
      <c r="K27" s="2"/>
      <c r="L27" t="str">
        <f>VLOOKUP(B27,players!A:B,2)</f>
        <v>Devin Carter</v>
      </c>
    </row>
    <row r="28" spans="1:12" x14ac:dyDescent="0.25">
      <c r="A28">
        <v>13</v>
      </c>
      <c r="B28">
        <v>414</v>
      </c>
      <c r="C28">
        <v>2</v>
      </c>
      <c r="D28" s="2">
        <v>3600000</v>
      </c>
      <c r="E28" s="2"/>
      <c r="F28" s="2">
        <v>3800000</v>
      </c>
      <c r="G28" s="2" t="s">
        <v>472</v>
      </c>
      <c r="H28" s="2">
        <v>4100000</v>
      </c>
      <c r="I28" s="2" t="s">
        <v>472</v>
      </c>
      <c r="J28" s="2"/>
      <c r="K28" s="2"/>
      <c r="L28" t="str">
        <f>VLOOKUP(B28,players!A:B,2)</f>
        <v>Kaman Maluach</v>
      </c>
    </row>
    <row r="29" spans="1:12" x14ac:dyDescent="0.25">
      <c r="A29">
        <v>13</v>
      </c>
      <c r="B29">
        <v>241</v>
      </c>
      <c r="C29">
        <v>3</v>
      </c>
      <c r="D29" s="2">
        <v>8500000</v>
      </c>
      <c r="E29" s="2"/>
      <c r="F29" s="2">
        <v>9250000</v>
      </c>
      <c r="G29" s="2" t="s">
        <v>472</v>
      </c>
      <c r="H29" s="2">
        <v>10000000</v>
      </c>
      <c r="I29" s="2" t="s">
        <v>472</v>
      </c>
      <c r="J29" s="2"/>
      <c r="K29" s="2"/>
      <c r="L29" t="str">
        <f>VLOOKUP(B29,players!A:B,2)</f>
        <v>Dylan Harper</v>
      </c>
    </row>
    <row r="30" spans="1:12" x14ac:dyDescent="0.25">
      <c r="A30">
        <v>14</v>
      </c>
      <c r="B30">
        <v>273</v>
      </c>
      <c r="C30">
        <v>1</v>
      </c>
      <c r="D30" s="2">
        <v>3200000</v>
      </c>
      <c r="E30" s="2"/>
      <c r="F30" s="2">
        <v>3500000</v>
      </c>
      <c r="G30" s="2"/>
      <c r="H30" s="2"/>
      <c r="I30" s="2"/>
      <c r="J30" s="2"/>
      <c r="K30" s="2"/>
      <c r="L30" t="str">
        <f>VLOOKUP(B30,players!A:B,2)</f>
        <v>Cason Wallace</v>
      </c>
    </row>
    <row r="31" spans="1:12" x14ac:dyDescent="0.25">
      <c r="A31">
        <v>14</v>
      </c>
      <c r="B31">
        <v>259</v>
      </c>
      <c r="C31">
        <v>2</v>
      </c>
      <c r="D31" s="2">
        <v>1000000</v>
      </c>
      <c r="E31" s="2"/>
      <c r="F31" s="2"/>
      <c r="G31" s="2"/>
      <c r="H31" s="2"/>
      <c r="I31" s="2"/>
      <c r="J31" s="2"/>
      <c r="K31" s="2"/>
      <c r="L31" t="str">
        <f>VLOOKUP(B31,players!A:B,2)</f>
        <v>Jaylen Wells</v>
      </c>
    </row>
    <row r="32" spans="1:12" x14ac:dyDescent="0.25">
      <c r="A32">
        <v>14</v>
      </c>
      <c r="B32">
        <v>415</v>
      </c>
      <c r="C32">
        <v>3</v>
      </c>
      <c r="D32" s="2">
        <v>3800000</v>
      </c>
      <c r="E32" s="2"/>
      <c r="F32" s="2">
        <v>4000000</v>
      </c>
      <c r="G32" s="2" t="s">
        <v>472</v>
      </c>
      <c r="H32" s="2">
        <v>4200000</v>
      </c>
      <c r="I32" s="2" t="s">
        <v>472</v>
      </c>
      <c r="J32" s="2"/>
      <c r="K32" s="2"/>
      <c r="L32" t="str">
        <f>VLOOKUP(B32,players!A:B,2)</f>
        <v>Noah Essengue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2"/>
  <sheetViews>
    <sheetView workbookViewId="0">
      <selection activeCell="B7" sqref="B7"/>
    </sheetView>
  </sheetViews>
  <sheetFormatPr defaultRowHeight="15" x14ac:dyDescent="0.25"/>
  <cols>
    <col min="2" max="2" width="13.7109375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5"/>
  <sheetViews>
    <sheetView tabSelected="1" workbookViewId="0">
      <selection activeCell="G5" sqref="G5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1050000</v>
      </c>
      <c r="C6" s="2">
        <v>300000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/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2026-06-26T22:29:03Z</dcterms:modified>
</cp:coreProperties>
</file>