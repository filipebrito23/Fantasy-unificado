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15" documentId="13_ncr:1_{430BDD2D-160C-44D5-BB14-2292BAF4F531}" xr6:coauthVersionLast="47" xr6:coauthVersionMax="47" xr10:uidLastSave="{05111786-FC54-47B2-86F5-452A860D58C3}"/>
  <bookViews>
    <workbookView xWindow="-120" yWindow="-120" windowWidth="29040" windowHeight="16440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8" i="4" l="1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2" i="4"/>
</calcChain>
</file>

<file path=xl/sharedStrings.xml><?xml version="1.0" encoding="utf-8"?>
<sst xmlns="http://schemas.openxmlformats.org/spreadsheetml/2006/main" count="1100" uniqueCount="524">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</sst>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tabSelected="1" topLeftCell="A186" workbookViewId="0">
      <selection activeCell="D210" sqref="D21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25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24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22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25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25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25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24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22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25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25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22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23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25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25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25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24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25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24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24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25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25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25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topLeftCell="A34" workbookViewId="0">
      <selection activeCell="B56" sqref="B56:B61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7"/>
  <sheetViews>
    <sheetView topLeftCell="A23" workbookViewId="0">
      <selection activeCell="F41" sqref="F41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94</v>
      </c>
      <c r="C164">
        <v>11</v>
      </c>
      <c r="D164" s="2">
        <v>1000000</v>
      </c>
      <c r="L164" t="str">
        <f>VLOOKUP(B164,players!A:B,2)</f>
        <v>Zach Collins</v>
      </c>
    </row>
    <row r="165" spans="1:12" x14ac:dyDescent="0.25">
      <c r="A165">
        <v>13</v>
      </c>
      <c r="B165">
        <v>150</v>
      </c>
      <c r="C165">
        <v>12</v>
      </c>
      <c r="D165" s="2">
        <v>6000000</v>
      </c>
      <c r="F165" s="2">
        <v>6000000</v>
      </c>
      <c r="H165" s="2">
        <v>6000000</v>
      </c>
      <c r="L165" t="str">
        <f>VLOOKUP(B165,players!A:B,2)</f>
        <v>Austin Reaves</v>
      </c>
    </row>
    <row r="166" spans="1:12" x14ac:dyDescent="0.25">
      <c r="A166">
        <v>14</v>
      </c>
      <c r="B166">
        <v>317</v>
      </c>
      <c r="C166">
        <v>1</v>
      </c>
      <c r="L166" t="str">
        <f>VLOOKUP(B166,players!A:B,2)</f>
        <v>Anfernee Simons</v>
      </c>
    </row>
    <row r="167" spans="1:12" x14ac:dyDescent="0.25">
      <c r="A167">
        <v>14</v>
      </c>
      <c r="B167">
        <v>299</v>
      </c>
      <c r="C167">
        <v>2</v>
      </c>
      <c r="L167" t="str">
        <f>VLOOKUP(B167,players!A:B,2)</f>
        <v>Marcus Smart</v>
      </c>
    </row>
    <row r="168" spans="1:12" x14ac:dyDescent="0.25">
      <c r="A168">
        <v>14</v>
      </c>
      <c r="B168">
        <v>129</v>
      </c>
      <c r="C168">
        <v>3</v>
      </c>
      <c r="L168" t="str">
        <f>VLOOKUP(B168,players!A:B,2)</f>
        <v>Jaime Jaquez Jr.</v>
      </c>
    </row>
    <row r="169" spans="1:12" x14ac:dyDescent="0.25">
      <c r="A169">
        <v>14</v>
      </c>
      <c r="B169">
        <v>90</v>
      </c>
      <c r="C169">
        <v>4</v>
      </c>
      <c r="L169" t="str">
        <f>VLOOKUP(B169,players!A:B,2)</f>
        <v>Jimmy Butler</v>
      </c>
    </row>
    <row r="170" spans="1:12" x14ac:dyDescent="0.25">
      <c r="A170">
        <v>14</v>
      </c>
      <c r="B170">
        <v>24</v>
      </c>
      <c r="C170">
        <v>5</v>
      </c>
      <c r="D170" s="2">
        <v>1000000</v>
      </c>
      <c r="L170" t="str">
        <f>VLOOKUP(B170,players!A:B,2)</f>
        <v>Moussa Diabaté</v>
      </c>
    </row>
    <row r="171" spans="1:12" x14ac:dyDescent="0.25">
      <c r="A171">
        <v>14</v>
      </c>
      <c r="B171">
        <v>238</v>
      </c>
      <c r="C171">
        <v>6</v>
      </c>
      <c r="D171" s="2">
        <v>3000000</v>
      </c>
      <c r="L171" t="str">
        <f>VLOOKUP(B171,players!A:B,2)</f>
        <v>Coby White</v>
      </c>
    </row>
    <row r="172" spans="1:12" x14ac:dyDescent="0.25">
      <c r="A172">
        <v>14</v>
      </c>
      <c r="B172">
        <v>19</v>
      </c>
      <c r="C172">
        <v>7</v>
      </c>
      <c r="D172" s="2">
        <v>20500000</v>
      </c>
      <c r="F172" s="2">
        <v>20500000</v>
      </c>
      <c r="H172" s="2">
        <v>20500000</v>
      </c>
      <c r="L172" t="str">
        <f>VLOOKUP(B172,players!A:B,2)</f>
        <v>Evan Mobley</v>
      </c>
    </row>
    <row r="173" spans="1:12" x14ac:dyDescent="0.25">
      <c r="A173">
        <v>14</v>
      </c>
      <c r="B173">
        <v>73</v>
      </c>
      <c r="C173">
        <v>8</v>
      </c>
      <c r="D173" s="2">
        <v>19500000</v>
      </c>
      <c r="L173" t="str">
        <f>VLOOKUP(B173,players!A:B,2)</f>
        <v>LeBron James</v>
      </c>
    </row>
    <row r="174" spans="1:12" x14ac:dyDescent="0.25">
      <c r="A174">
        <v>14</v>
      </c>
      <c r="B174">
        <v>61</v>
      </c>
      <c r="C174">
        <v>9</v>
      </c>
      <c r="D174" s="2">
        <v>9500000</v>
      </c>
      <c r="F174" s="2">
        <v>10500000</v>
      </c>
      <c r="G174" s="2" t="s">
        <v>472</v>
      </c>
      <c r="H174" s="2">
        <v>11500000</v>
      </c>
      <c r="I174" s="2" t="s">
        <v>472</v>
      </c>
      <c r="L174" t="str">
        <f>VLOOKUP(B174,players!A:B,2)</f>
        <v>Cooper Flagg</v>
      </c>
    </row>
    <row r="175" spans="1:12" x14ac:dyDescent="0.25">
      <c r="A175">
        <v>14</v>
      </c>
      <c r="B175">
        <v>2</v>
      </c>
      <c r="C175">
        <v>10</v>
      </c>
      <c r="L175" t="str">
        <f>VLOOKUP(B175,players!A:B,2)</f>
        <v>Karl-Anthony Towns</v>
      </c>
    </row>
    <row r="176" spans="1:12" x14ac:dyDescent="0.25">
      <c r="A176">
        <v>14</v>
      </c>
      <c r="B176">
        <v>220</v>
      </c>
      <c r="C176">
        <v>11</v>
      </c>
      <c r="L176" t="str">
        <f>VLOOKUP(B176,players!A:B,2)</f>
        <v>Quentin Grimes</v>
      </c>
    </row>
    <row r="177" spans="1:12" x14ac:dyDescent="0.25">
      <c r="A177">
        <v>14</v>
      </c>
      <c r="B177">
        <v>145</v>
      </c>
      <c r="C177">
        <v>12</v>
      </c>
      <c r="D177" s="2">
        <v>20000000</v>
      </c>
      <c r="F177" s="2">
        <v>20000000</v>
      </c>
      <c r="H177" s="2">
        <v>20000000</v>
      </c>
      <c r="L177" t="str">
        <f>VLOOKUP(B177,players!A:B,2)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2"/>
  <sheetViews>
    <sheetView workbookViewId="0">
      <selection activeCell="N15" sqref="N1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209</v>
      </c>
      <c r="C13">
        <v>3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Nique Clifford</v>
      </c>
    </row>
    <row r="14" spans="1:12" x14ac:dyDescent="0.25">
      <c r="A14">
        <v>5</v>
      </c>
      <c r="B14">
        <v>409</v>
      </c>
      <c r="C14">
        <v>4</v>
      </c>
      <c r="D14" s="2">
        <v>4000000</v>
      </c>
      <c r="E14" s="2"/>
      <c r="F14" s="2">
        <v>4200000</v>
      </c>
      <c r="G14" s="2" t="s">
        <v>472</v>
      </c>
      <c r="H14" s="2">
        <v>4500000</v>
      </c>
      <c r="I14" s="2" t="s">
        <v>472</v>
      </c>
      <c r="J14" s="2"/>
      <c r="K14" s="2"/>
      <c r="L14" t="str">
        <f>VLOOKUP(B14,players!A:B,2)</f>
        <v>Hansen Yang</v>
      </c>
    </row>
    <row r="15" spans="1:12" x14ac:dyDescent="0.25">
      <c r="A15">
        <v>6</v>
      </c>
      <c r="B15">
        <v>192</v>
      </c>
      <c r="C15">
        <v>1</v>
      </c>
      <c r="D15" s="2">
        <v>3200000</v>
      </c>
      <c r="E15" s="2"/>
      <c r="F15" s="2">
        <v>3500000</v>
      </c>
      <c r="G15" s="2" t="s">
        <v>472</v>
      </c>
      <c r="H15" s="2"/>
      <c r="I15" s="2"/>
      <c r="J15" s="2"/>
      <c r="K15" s="2"/>
      <c r="L15" t="str">
        <f>VLOOKUP(B15,players!A:B,2)</f>
        <v>Tidjane Salaün</v>
      </c>
    </row>
    <row r="16" spans="1:12" x14ac:dyDescent="0.25">
      <c r="A16">
        <v>8</v>
      </c>
      <c r="B16">
        <v>47</v>
      </c>
      <c r="C16">
        <v>1</v>
      </c>
      <c r="D16" s="2">
        <v>1000000</v>
      </c>
      <c r="E16" s="2"/>
      <c r="F16" s="2">
        <v>1000000</v>
      </c>
      <c r="G16" s="2" t="s">
        <v>472</v>
      </c>
      <c r="H16" s="2"/>
      <c r="I16" s="2"/>
      <c r="J16" s="2"/>
      <c r="K16" s="2"/>
      <c r="L16" t="str">
        <f>VLOOKUP(B16,players!A:B,2)</f>
        <v>Kyle Filipowski</v>
      </c>
    </row>
    <row r="17" spans="1:12" x14ac:dyDescent="0.25">
      <c r="A17">
        <v>9</v>
      </c>
      <c r="B17">
        <v>108</v>
      </c>
      <c r="C17">
        <v>1</v>
      </c>
      <c r="D17" s="2">
        <v>5000000</v>
      </c>
      <c r="E17" s="2"/>
      <c r="F17" s="2">
        <v>5500000</v>
      </c>
      <c r="G17" s="2" t="s">
        <v>472</v>
      </c>
      <c r="H17" s="2">
        <v>6000000</v>
      </c>
      <c r="I17" s="2" t="s">
        <v>472</v>
      </c>
      <c r="J17" s="2"/>
      <c r="K17" s="2"/>
      <c r="L17" t="str">
        <f>VLOOKUP(B17,players!A:B,2)</f>
        <v>Kon Knueppel</v>
      </c>
    </row>
    <row r="18" spans="1:12" x14ac:dyDescent="0.25">
      <c r="A18">
        <v>9</v>
      </c>
      <c r="B18">
        <v>123</v>
      </c>
      <c r="C18">
        <v>2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Jaylon Tyson</v>
      </c>
    </row>
    <row r="19" spans="1:12" x14ac:dyDescent="0.25">
      <c r="A19">
        <v>9</v>
      </c>
      <c r="B19">
        <v>410</v>
      </c>
      <c r="C19">
        <v>3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Joan Beringer</v>
      </c>
    </row>
    <row r="20" spans="1:12" x14ac:dyDescent="0.25">
      <c r="A20">
        <v>10</v>
      </c>
      <c r="B20">
        <v>297</v>
      </c>
      <c r="C20">
        <v>1</v>
      </c>
      <c r="D20" s="2">
        <v>5500000</v>
      </c>
      <c r="E20" s="2"/>
      <c r="F20" s="2">
        <v>6000000</v>
      </c>
      <c r="G20" s="2" t="s">
        <v>472</v>
      </c>
      <c r="H20" s="2">
        <v>6500000</v>
      </c>
      <c r="I20" s="2" t="s">
        <v>472</v>
      </c>
      <c r="J20" s="2"/>
      <c r="K20" s="2"/>
      <c r="L20" t="str">
        <f>VLOOKUP(B20,players!A:B,2)</f>
        <v>Tre Johnson</v>
      </c>
    </row>
    <row r="21" spans="1:12" x14ac:dyDescent="0.25">
      <c r="A21">
        <v>10</v>
      </c>
      <c r="B21">
        <v>313</v>
      </c>
      <c r="C21">
        <v>2</v>
      </c>
      <c r="D21" s="2">
        <v>1000000</v>
      </c>
      <c r="E21" s="2"/>
      <c r="F21" s="2">
        <v>1000000</v>
      </c>
      <c r="G21" s="2"/>
      <c r="H21" s="2"/>
      <c r="I21" s="2"/>
      <c r="J21" s="2"/>
      <c r="K21" s="2"/>
      <c r="L21" t="str">
        <f>VLOOKUP(B21,players!A:B,2)</f>
        <v>Ja'Kobe Walter</v>
      </c>
    </row>
    <row r="22" spans="1:12" x14ac:dyDescent="0.25">
      <c r="A22">
        <v>10</v>
      </c>
      <c r="B22">
        <v>300</v>
      </c>
      <c r="C22">
        <v>3</v>
      </c>
      <c r="D22" s="2">
        <v>6000000</v>
      </c>
      <c r="E22" s="2"/>
      <c r="F22" s="2"/>
      <c r="G22" s="2"/>
      <c r="H22" s="2"/>
      <c r="I22" s="2"/>
      <c r="J22" s="2"/>
      <c r="K22" s="2"/>
      <c r="L22" t="str">
        <f>VLOOKUP(B22,players!A:B,2)</f>
        <v>Cam Whitmore</v>
      </c>
    </row>
    <row r="23" spans="1:12" x14ac:dyDescent="0.25">
      <c r="A23">
        <v>10</v>
      </c>
      <c r="B23">
        <v>411</v>
      </c>
      <c r="C23">
        <v>4</v>
      </c>
      <c r="D23" s="2">
        <v>1000000</v>
      </c>
      <c r="E23" s="2"/>
      <c r="F23" s="2">
        <v>1000000</v>
      </c>
      <c r="G23" s="2" t="s">
        <v>472</v>
      </c>
      <c r="H23" s="2">
        <v>1000000</v>
      </c>
      <c r="I23" s="2" t="s">
        <v>472</v>
      </c>
      <c r="J23" s="2"/>
      <c r="K23" s="2"/>
      <c r="L23" t="str">
        <f>VLOOKUP(B23,players!A:B,2)</f>
        <v>Thomas Sorber</v>
      </c>
    </row>
    <row r="24" spans="1:12" x14ac:dyDescent="0.25">
      <c r="A24">
        <v>11</v>
      </c>
      <c r="B24">
        <v>412</v>
      </c>
      <c r="C24">
        <v>1</v>
      </c>
      <c r="D24" s="2">
        <v>3200000</v>
      </c>
      <c r="E24" s="2"/>
      <c r="F24" s="2">
        <v>3500000</v>
      </c>
      <c r="G24" s="2" t="s">
        <v>472</v>
      </c>
      <c r="H24" s="2"/>
      <c r="I24" s="2"/>
      <c r="J24" s="2"/>
      <c r="K24" s="2"/>
      <c r="L24" t="str">
        <f>VLOOKUP(B24,players!A:B,2)</f>
        <v>Carter Bryant</v>
      </c>
    </row>
    <row r="25" spans="1:12" x14ac:dyDescent="0.25">
      <c r="A25">
        <v>11</v>
      </c>
      <c r="B25">
        <v>413</v>
      </c>
      <c r="C25">
        <v>2</v>
      </c>
      <c r="D25" s="2">
        <v>3300000</v>
      </c>
      <c r="E25" s="2"/>
      <c r="F25" s="2"/>
      <c r="G25" s="2"/>
      <c r="H25" s="2"/>
      <c r="I25" s="2"/>
      <c r="J25" s="2"/>
      <c r="K25" s="2"/>
      <c r="L25" t="str">
        <f>VLOOKUP(B25,players!A:B,2)</f>
        <v>Dalton Knecht</v>
      </c>
    </row>
    <row r="26" spans="1:12" x14ac:dyDescent="0.25">
      <c r="A26">
        <v>11</v>
      </c>
      <c r="B26">
        <v>189</v>
      </c>
      <c r="C26">
        <v>3</v>
      </c>
      <c r="D26" s="2">
        <v>6000000</v>
      </c>
      <c r="E26" s="2"/>
      <c r="F26" s="2"/>
      <c r="G26" s="2"/>
      <c r="H26" s="2"/>
      <c r="I26" s="2"/>
      <c r="J26" s="2"/>
      <c r="K26" s="2"/>
      <c r="L26" t="str">
        <f>VLOOKUP(B26,players!A:B,2)</f>
        <v>Ron Holland</v>
      </c>
    </row>
    <row r="27" spans="1:12" x14ac:dyDescent="0.25">
      <c r="A27">
        <v>13</v>
      </c>
      <c r="B27">
        <v>252</v>
      </c>
      <c r="C27">
        <v>1</v>
      </c>
      <c r="D27" s="2">
        <v>1000000</v>
      </c>
      <c r="E27" s="2"/>
      <c r="F27" s="2">
        <v>1000000</v>
      </c>
      <c r="G27" s="2" t="s">
        <v>472</v>
      </c>
      <c r="H27" s="2"/>
      <c r="I27" s="2"/>
      <c r="J27" s="2"/>
      <c r="K27" s="2"/>
      <c r="L27" t="str">
        <f>VLOOKUP(B27,players!A:B,2)</f>
        <v>Devin Carter</v>
      </c>
    </row>
    <row r="28" spans="1:12" x14ac:dyDescent="0.25">
      <c r="A28">
        <v>13</v>
      </c>
      <c r="B28">
        <v>414</v>
      </c>
      <c r="C28">
        <v>2</v>
      </c>
      <c r="D28" s="2">
        <v>3600000</v>
      </c>
      <c r="E28" s="2"/>
      <c r="F28" s="2">
        <v>3800000</v>
      </c>
      <c r="G28" s="2" t="s">
        <v>472</v>
      </c>
      <c r="H28" s="2">
        <v>4100000</v>
      </c>
      <c r="I28" s="2" t="s">
        <v>472</v>
      </c>
      <c r="J28" s="2"/>
      <c r="K28" s="2"/>
      <c r="L28" t="str">
        <f>VLOOKUP(B28,players!A:B,2)</f>
        <v>Kaman Maluach</v>
      </c>
    </row>
    <row r="29" spans="1:12" x14ac:dyDescent="0.25">
      <c r="A29">
        <v>13</v>
      </c>
      <c r="B29">
        <v>241</v>
      </c>
      <c r="C29">
        <v>3</v>
      </c>
      <c r="D29" s="2">
        <v>8500000</v>
      </c>
      <c r="E29" s="2"/>
      <c r="F29" s="2">
        <v>9250000</v>
      </c>
      <c r="G29" s="2" t="s">
        <v>472</v>
      </c>
      <c r="H29" s="2">
        <v>10000000</v>
      </c>
      <c r="I29" s="2" t="s">
        <v>472</v>
      </c>
      <c r="J29" s="2"/>
      <c r="K29" s="2"/>
      <c r="L29" t="str">
        <f>VLOOKUP(B29,players!A:B,2)</f>
        <v>Dylan Harper</v>
      </c>
    </row>
    <row r="30" spans="1:12" x14ac:dyDescent="0.25">
      <c r="A30">
        <v>14</v>
      </c>
      <c r="B30">
        <v>273</v>
      </c>
      <c r="C30">
        <v>1</v>
      </c>
      <c r="D30" s="2">
        <v>3200000</v>
      </c>
      <c r="E30" s="2"/>
      <c r="F30" s="2">
        <v>3500000</v>
      </c>
      <c r="G30" s="2"/>
      <c r="H30" s="2"/>
      <c r="I30" s="2"/>
      <c r="J30" s="2"/>
      <c r="K30" s="2"/>
      <c r="L30" t="str">
        <f>VLOOKUP(B30,players!A:B,2)</f>
        <v>Cason Wallace</v>
      </c>
    </row>
    <row r="31" spans="1:12" x14ac:dyDescent="0.25">
      <c r="A31">
        <v>14</v>
      </c>
      <c r="B31">
        <v>259</v>
      </c>
      <c r="C31">
        <v>2</v>
      </c>
      <c r="D31" s="2">
        <v>1000000</v>
      </c>
      <c r="E31" s="2"/>
      <c r="F31" s="2"/>
      <c r="G31" s="2"/>
      <c r="H31" s="2"/>
      <c r="I31" s="2"/>
      <c r="J31" s="2"/>
      <c r="K31" s="2"/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3</v>
      </c>
      <c r="D32" s="2">
        <v>3800000</v>
      </c>
      <c r="E32" s="2"/>
      <c r="F32" s="2">
        <v>4000000</v>
      </c>
      <c r="G32" s="2" t="s">
        <v>472</v>
      </c>
      <c r="H32" s="2">
        <v>4200000</v>
      </c>
      <c r="I32" s="2" t="s">
        <v>472</v>
      </c>
      <c r="J32" s="2"/>
      <c r="K32" s="2"/>
      <c r="L32" t="str">
        <f>VLOOKUP(B32,players!A:B,2)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2026-06-22T19:46:13Z</dcterms:modified>
</cp:coreProperties>
</file>