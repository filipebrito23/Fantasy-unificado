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5" documentId="11_1E8727D0025DE2D9980AC087651940E765748321" xr6:coauthVersionLast="47" xr6:coauthVersionMax="47" xr10:uidLastSave="{60630904-A480-41B5-B877-E31FBD508CA3}"/>
  <bookViews>
    <workbookView xWindow="-120" yWindow="-120" windowWidth="29040" windowHeight="16440" firstSheet="1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0" l="1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<sst xmlns="http://schemas.openxmlformats.org/spreadsheetml/2006/main" count="2557" uniqueCount="704">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</sst>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111" workbookViewId="0">
      <selection activeCell="E120" sqref="E1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tabSelected="1"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9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VLOOKUP(B16,players!A:B,2)</f>
        <v>Ace Bailey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VLOOKUP(B17,players!A:B,2)</f>
        <v>Andrew Wiggins</v>
      </c>
    </row>
    <row r="17" spans="1:12" x14ac:dyDescent="0.25">
      <c r="A17">
        <v>1</v>
      </c>
      <c r="B17">
        <v>146</v>
      </c>
      <c r="C17">
        <v>4</v>
      </c>
      <c r="L17" t="str">
        <f>VLOOKUP(B18,players!A:B,2)</f>
        <v>Noah Clowney</v>
      </c>
    </row>
    <row r="18" spans="1:12" x14ac:dyDescent="0.25">
      <c r="A18">
        <v>1</v>
      </c>
      <c r="B18">
        <v>180</v>
      </c>
      <c r="C18">
        <v>5</v>
      </c>
      <c r="L18" t="str">
        <f>VLOOKUP(B19,players!A:B,2)</f>
        <v>Asa Newell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VLOOKUP(B20,players!A:B,2)</f>
        <v>Onyeka Okongwu</v>
      </c>
    </row>
    <row r="20" spans="1:12" x14ac:dyDescent="0.25">
      <c r="A20">
        <v>1</v>
      </c>
      <c r="B20">
        <v>39</v>
      </c>
      <c r="C20">
        <v>7</v>
      </c>
      <c r="L20" t="str">
        <f>VLOOKUP(B21,players!A:B,2)</f>
        <v>Matas Buzelis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VLOOKUP(B22,players!A:B,2)</f>
        <v>Anthony Edwards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VLOOKUP(B23,players!A:B,2)</f>
        <v>Tyrese Maxey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VLOOKUP(B24,players!A:B,2)</f>
        <v>Jay Huff</v>
      </c>
    </row>
    <row r="24" spans="1:12" x14ac:dyDescent="0.25">
      <c r="A24">
        <v>1</v>
      </c>
      <c r="B24">
        <v>187</v>
      </c>
      <c r="C24">
        <v>13</v>
      </c>
      <c r="L24" t="str">
        <f>VLOOKUP(B27,players!A:B,2)</f>
        <v>Hannes Steinbach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VLOOKUP(B28,players!A:B,2)</f>
        <v>Keaton Wagler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VLOOKUP(B29,players!A:B,2)</f>
        <v>Cam Spencer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VLOOKUP(B30,players!A:B,2)</f>
        <v>Alperen Şengün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VLOOKUP(B31,players!A:B,2)</f>
        <v>Kevin Durant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VLOOKUP(B32,players!A:B,2)</f>
        <v>Brandon Miller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VLOOKUP(B33,players!A:B,2)</f>
        <v>Jalen Green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VLOOKUP(B34,players!A:B,2)</f>
        <v>Tyler Herro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VLOOKUP(B35,players!A:B,2)</f>
        <v>Trae Young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VLOOKUP(B36,players!A:B,2)</f>
        <v>Russell Westbrook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VLOOKUP(B37,players!A:B,2)</f>
        <v>Bobby Portis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VLOOKUP(B38,players!A:B,2)</f>
        <v>Derik Queen</v>
      </c>
    </row>
    <row r="36" spans="1:12" x14ac:dyDescent="0.25">
      <c r="A36">
        <v>2</v>
      </c>
      <c r="B36">
        <v>103</v>
      </c>
      <c r="C36">
        <v>8</v>
      </c>
      <c r="L36" t="str">
        <f>VLOOKUP(B39,players!A:B,2)</f>
        <v>Nickeil Alexander-Walker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VLOOKUP(B40,players!A:B,2)</f>
        <v>Kyshawn George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VLOOKUP(B41,players!A:B,2)</f>
        <v>Cameron Johnson</v>
      </c>
    </row>
    <row r="39" spans="1:12" x14ac:dyDescent="0.25">
      <c r="A39">
        <v>3</v>
      </c>
      <c r="B39">
        <v>237</v>
      </c>
      <c r="C39">
        <v>2</v>
      </c>
      <c r="L39" t="str">
        <f>VLOOKUP(B43,players!A:B,2)</f>
        <v>Mitchell Robinson</v>
      </c>
    </row>
    <row r="40" spans="1:12" x14ac:dyDescent="0.25">
      <c r="A40">
        <v>3</v>
      </c>
      <c r="B40">
        <v>119</v>
      </c>
      <c r="C40">
        <v>3</v>
      </c>
      <c r="L40" t="str">
        <f>VLOOKUP(B44,players!A:B,2)</f>
        <v>Jalen Duren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VLOOKUP(B45,players!A:B,2)</f>
        <v>Luka Dončić</v>
      </c>
    </row>
    <row r="42" spans="1:12" x14ac:dyDescent="0.25">
      <c r="A42">
        <v>3</v>
      </c>
      <c r="B42">
        <v>112</v>
      </c>
      <c r="C42">
        <v>5</v>
      </c>
      <c r="L42" t="str">
        <f>VLOOKUP(B46,players!A:B,2)</f>
        <v>Kawhi Leonard</v>
      </c>
    </row>
    <row r="43" spans="1:12" x14ac:dyDescent="0.25">
      <c r="A43">
        <v>3</v>
      </c>
      <c r="B43">
        <v>23</v>
      </c>
      <c r="C43">
        <v>6</v>
      </c>
      <c r="L43" t="str">
        <f>VLOOKUP(B47,players!A:B,2)</f>
        <v>Jaren Jackson Jr.</v>
      </c>
    </row>
    <row r="44" spans="1:12" x14ac:dyDescent="0.25">
      <c r="A44">
        <v>3</v>
      </c>
      <c r="B44">
        <v>11</v>
      </c>
      <c r="C44">
        <v>7</v>
      </c>
      <c r="L44" t="str">
        <f>VLOOKUP(B48,players!A:B,2)</f>
        <v>OG Anunoby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VLOOKUP(B49,players!A:B,2)</f>
        <v>Kyrie Irving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VLOOKUP(B50,players!A:B,2)</f>
        <v>Nolan Traoré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VLOOKUP(B51,players!A:B,2)</f>
        <v>Jared McCain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VLOOKUP(B52,players!A:B,2)</f>
        <v>Keldon Johnson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VLOOKUP(B53,players!A:B,2)</f>
        <v>Santi Aldama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VLOOKUP(B56,players!A:B,2)</f>
        <v>Bam Adebayo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VLOOKUP(B57,players!A:B,2)</f>
        <v>Jaylen Brown</v>
      </c>
    </row>
    <row r="52" spans="1:12" x14ac:dyDescent="0.25">
      <c r="A52">
        <v>4</v>
      </c>
      <c r="B52">
        <v>104</v>
      </c>
      <c r="C52">
        <v>3</v>
      </c>
      <c r="L52" t="str">
        <f>VLOOKUP(B58,players!A:B,2)</f>
        <v>Stephon Castle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VLOOKUP(B59,players!A:B,2)</f>
        <v>Franz Wagner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VLOOKUP(B60,players!A:B,2)</f>
        <v>Donovan Mitchell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VLOOKUP(B61,players!A:B,2)</f>
        <v>DeMar DeRozan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VLOOKUP(B62,players!A:B,2)</f>
        <v>Kingston Flemings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VLOOKUP(B63,players!A:B,2)</f>
        <v>Henry Veesaar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VLOOKUP(B64,players!A:B,2)</f>
        <v>Dennis Schröder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VLOOKUP(B65,players!A:B,2)</f>
        <v>Egor Dёmin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VLOOKUP(B66,players!A:B,2)</f>
        <v>Grayson Allen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VLOOKUP(B67,players!A:B,2)</f>
        <v>James Harden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VLOOKUP(B68,players!A:B,2)</f>
        <v>Isaiah Stewart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VLOOKUP(B69,players!A:B,2)</f>
        <v>Danny Wolf</v>
      </c>
    </row>
    <row r="64" spans="1:12" x14ac:dyDescent="0.25">
      <c r="A64">
        <v>5</v>
      </c>
      <c r="B64">
        <v>305</v>
      </c>
      <c r="C64">
        <v>1</v>
      </c>
      <c r="L64" t="str">
        <f>VLOOKUP(B70,players!A:B,2)</f>
        <v>Joel Embiid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VLOOKUP(B71,players!A:B,2)</f>
        <v>Giannis Antetokounmpo</v>
      </c>
    </row>
    <row r="66" spans="1:12" x14ac:dyDescent="0.25">
      <c r="A66">
        <v>5</v>
      </c>
      <c r="B66">
        <v>274</v>
      </c>
      <c r="C66">
        <v>3</v>
      </c>
      <c r="L66" t="str">
        <f>VLOOKUP(B72,players!A:B,2)</f>
        <v>Naz Reid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VLOOKUP(B73,players!A:B,2)</f>
        <v>Jerami Grant</v>
      </c>
    </row>
    <row r="68" spans="1:12" x14ac:dyDescent="0.25">
      <c r="A68">
        <v>5</v>
      </c>
      <c r="B68">
        <v>131</v>
      </c>
      <c r="C68">
        <v>5</v>
      </c>
      <c r="L68" t="str">
        <f>VLOOKUP(B74,players!A:B,2)</f>
        <v>Michael Porter Jr.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VLOOKUP(B75,players!A:B,2)</f>
        <v>Ryan Rollins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VLOOKUP(B76,players!A:B,2)</f>
        <v>Caleb Wilson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VLOOKUP(B77,players!A:B,2)</f>
        <v>Yaxel Lendeborg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VLOOKUP(B78,players!A:B,2)</f>
        <v>Derrick White</v>
      </c>
    </row>
    <row r="73" spans="1:12" x14ac:dyDescent="0.25">
      <c r="A73">
        <v>5</v>
      </c>
      <c r="B73">
        <v>227</v>
      </c>
      <c r="C73">
        <v>10</v>
      </c>
      <c r="L73" t="str">
        <f>VLOOKUP(B79,players!A:B,2)</f>
        <v>D'Angelo Russell</v>
      </c>
    </row>
    <row r="74" spans="1:12" x14ac:dyDescent="0.25">
      <c r="A74">
        <v>5</v>
      </c>
      <c r="B74">
        <v>48</v>
      </c>
      <c r="C74">
        <v>11</v>
      </c>
      <c r="L74" t="str">
        <f>VLOOKUP(B80,players!A:B,2)</f>
        <v>Josh Hart</v>
      </c>
    </row>
    <row r="75" spans="1:12" x14ac:dyDescent="0.25">
      <c r="A75">
        <v>5</v>
      </c>
      <c r="B75">
        <v>152</v>
      </c>
      <c r="C75">
        <v>12</v>
      </c>
      <c r="L75" t="str">
        <f>VLOOKUP(B81,players!A:B,2)</f>
        <v>Tobias Harris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VLOOKUP(B82,players!A:B,2)</f>
        <v>Draymond Green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VLOOKUP(B83,players!A:B,2)</f>
        <v>Jusuf Nurkić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VLOOKUP(B84,players!A:B,2)</f>
        <v>Nikola Jokić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VLOOKUP(B85,players!A:B,2)</f>
        <v>Paolo Banchero</v>
      </c>
    </row>
    <row r="80" spans="1:12" x14ac:dyDescent="0.25">
      <c r="A80">
        <v>6</v>
      </c>
      <c r="B80">
        <v>45</v>
      </c>
      <c r="C80">
        <v>3</v>
      </c>
      <c r="L80" t="str">
        <f>VLOOKUP(B86,players!A:B,2)</f>
        <v>Miles Bridges</v>
      </c>
    </row>
    <row r="81" spans="1:12" x14ac:dyDescent="0.25">
      <c r="A81">
        <v>6</v>
      </c>
      <c r="B81">
        <v>122</v>
      </c>
      <c r="C81">
        <v>4</v>
      </c>
      <c r="L81" t="str">
        <f>VLOOKUP(B87,players!A:B,2)</f>
        <v>Cade Cunningham</v>
      </c>
    </row>
    <row r="82" spans="1:12" x14ac:dyDescent="0.25">
      <c r="A82">
        <v>6</v>
      </c>
      <c r="B82">
        <v>98</v>
      </c>
      <c r="C82">
        <v>5</v>
      </c>
      <c r="L82" t="str">
        <f>VLOOKUP(B88,players!A:B,2)</f>
        <v>Jabari Smith Jr.</v>
      </c>
    </row>
    <row r="83" spans="1:12" x14ac:dyDescent="0.25">
      <c r="A83">
        <v>6</v>
      </c>
      <c r="B83">
        <v>13</v>
      </c>
      <c r="C83">
        <v>6</v>
      </c>
      <c r="L83" t="str">
        <f>VLOOKUP(B89,players!A:B,2)</f>
        <v>Keyonte George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VLOOKUP(B90,players!A:B,2)</f>
        <v>Damian Lillard</v>
      </c>
    </row>
    <row r="85" spans="1:12" x14ac:dyDescent="0.25">
      <c r="A85">
        <v>6</v>
      </c>
      <c r="B85">
        <v>27</v>
      </c>
      <c r="C85">
        <v>8</v>
      </c>
      <c r="L85" t="str">
        <f>VLOOKUP(B91,players!A:B,2)</f>
        <v>Tari Eason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VLOOKUP(B92,players!A:B,2)</f>
        <v>Darryn Peterson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VLOOKUP(B93,players!A:B,2)</f>
        <v>Bub Carrington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VLOOKUP(B94,players!A:B,2)</f>
        <v>Jrue Holiday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VLOOKUP(B95,players!A:B,2)</f>
        <v>Cedric Coward</v>
      </c>
    </row>
    <row r="90" spans="1:12" x14ac:dyDescent="0.25">
      <c r="A90">
        <v>6</v>
      </c>
      <c r="B90">
        <v>161</v>
      </c>
      <c r="C90">
        <v>13</v>
      </c>
      <c r="L90" t="str">
        <f>VLOOKUP(B96,players!A:B,2)</f>
        <v>Aaron Gordon</v>
      </c>
    </row>
    <row r="91" spans="1:12" x14ac:dyDescent="0.25">
      <c r="A91">
        <v>6</v>
      </c>
      <c r="B91">
        <v>71</v>
      </c>
      <c r="C91">
        <v>15</v>
      </c>
      <c r="L91" t="str">
        <f>VLOOKUP(B97,players!A:B,2)</f>
        <v>Kristaps Porziņģis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VLOOKUP(B98,players!A:B,2)</f>
        <v>Donovan Clingan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VLOOKUP(B99,players!A:B,2)</f>
        <v>Rudy Gobert</v>
      </c>
    </row>
    <row r="94" spans="1:12" x14ac:dyDescent="0.25">
      <c r="A94">
        <v>8</v>
      </c>
      <c r="B94">
        <v>154</v>
      </c>
      <c r="C94">
        <v>2</v>
      </c>
      <c r="L94" t="str">
        <f>VLOOKUP(B100,players!A:B,2)</f>
        <v>Jalen Johnson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VLOOKUP(B101,players!A:B,2)</f>
        <v>Trey Murphy III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VLOOKUP(B102,players!A:B,2)</f>
        <v>Zion Williamson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VLOOKUP(B103,players!A:B,2)</f>
        <v>De'Aaron Fox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VLOOKUP(B104,players!A:B,2)</f>
        <v>Norman Powell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VLOOKUP(B105,players!A:B,2)</f>
        <v>Dyson Daniels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VLOOKUP(B106,players!A:B,2)</f>
        <v>Collin Sexton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VLOOKUP(B107,players!A:B,2)</f>
        <v>Aday Mara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VLOOKUP(B108,players!A:B,2)</f>
        <v>Bennett Stirtz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VLOOKUP(B109,players!A:B,2)</f>
        <v>Chris Cenac Jr.</v>
      </c>
    </row>
    <row r="104" spans="1:12" x14ac:dyDescent="0.25">
      <c r="A104">
        <v>8</v>
      </c>
      <c r="B104">
        <v>225</v>
      </c>
      <c r="C104">
        <v>12</v>
      </c>
      <c r="L104" t="str">
        <f>VLOOKUP(B110,players!A:B,2)</f>
        <v>Cam Thomas</v>
      </c>
    </row>
    <row r="105" spans="1:12" x14ac:dyDescent="0.25">
      <c r="A105">
        <v>8</v>
      </c>
      <c r="B105">
        <v>59</v>
      </c>
      <c r="C105">
        <v>13</v>
      </c>
      <c r="L105" t="str">
        <f>VLOOKUP(B111,players!A:B,2)</f>
        <v>Ayo Dosunmu</v>
      </c>
    </row>
    <row r="106" spans="1:12" x14ac:dyDescent="0.25">
      <c r="A106">
        <v>8</v>
      </c>
      <c r="B106">
        <v>336</v>
      </c>
      <c r="C106">
        <v>14</v>
      </c>
      <c r="L106" t="str">
        <f>VLOOKUP(B112,players!A:B,2)</f>
        <v>Devin Vassell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VLOOKUP(B113,players!A:B,2)</f>
        <v>Rui Hachimura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VLOOKUP(B114,players!A:B,2)</f>
        <v>Clint Capela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VLOOKUP(B115,players!A:B,2)</f>
        <v>Jaden McDaniels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VLOOKUP(B116,players!A:B,2)</f>
        <v>Jayson Tatum</v>
      </c>
    </row>
    <row r="111" spans="1:12" x14ac:dyDescent="0.25">
      <c r="A111">
        <v>9</v>
      </c>
      <c r="B111">
        <v>240</v>
      </c>
      <c r="C111">
        <v>2</v>
      </c>
      <c r="L111" t="str">
        <f>VLOOKUP(B117,players!A:B,2)</f>
        <v>Jarrett Allen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VLOOKUP(B118,players!A:B,2)</f>
        <v>Brandon Ingram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VLOOKUP(B119,players!A:B,2)</f>
        <v>Shaedon Sharpe</v>
      </c>
    </row>
    <row r="114" spans="1:12" x14ac:dyDescent="0.25">
      <c r="A114">
        <v>9</v>
      </c>
      <c r="B114">
        <v>416</v>
      </c>
      <c r="C114">
        <v>5</v>
      </c>
      <c r="L114" t="str">
        <f>VLOOKUP(B120,players!A:B,2)</f>
        <v>Stephen Curry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VLOOKUP(B121,players!A:B,2)</f>
        <v>Darius Garland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VLOOKUP(B122,players!A:B,2)</f>
        <v>Ebuka Okorie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VLOOKUP(B123,players!A:B,2)</f>
        <v>Walker Kessler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VLOOKUP(B124,players!A:B,2)</f>
        <v>Malik Monk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VLOOKUP(B125,players!A:B,2)</f>
        <v>Ajay Mitchell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VLOOKUP(B126,players!A:B,2)</f>
        <v>Bilal Coulibaly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VLOOKUP(B127,players!A:B,2)</f>
        <v>Mark Williams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VLOOKUP(B128,players!A:B,2)</f>
        <v>GG Jackson II</v>
      </c>
    </row>
    <row r="123" spans="1:12" x14ac:dyDescent="0.25">
      <c r="A123">
        <v>10</v>
      </c>
      <c r="B123">
        <v>9</v>
      </c>
      <c r="C123">
        <v>1</v>
      </c>
      <c r="L123" t="str">
        <f>VLOOKUP(B129,players!A:B,2)</f>
        <v>Nikola Vučević</v>
      </c>
    </row>
    <row r="124" spans="1:12" x14ac:dyDescent="0.25">
      <c r="A124">
        <v>10</v>
      </c>
      <c r="B124">
        <v>373</v>
      </c>
      <c r="C124">
        <v>2</v>
      </c>
      <c r="L124" t="str">
        <f>VLOOKUP(B130,players!A:B,2)</f>
        <v>Alex Sarr</v>
      </c>
    </row>
    <row r="125" spans="1:12" x14ac:dyDescent="0.25">
      <c r="A125">
        <v>10</v>
      </c>
      <c r="B125">
        <v>249</v>
      </c>
      <c r="C125">
        <v>3</v>
      </c>
      <c r="L125" t="str">
        <f>VLOOKUP(B131,players!A:B,2)</f>
        <v>Julius Randle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VLOOKUP(B132,players!A:B,2)</f>
        <v>Jalen Williams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VLOOKUP(B133,players!A:B,2)</f>
        <v>Jamal Murray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VLOOKUP(B134,players!A:B,2)</f>
        <v>Jalen Brunson</v>
      </c>
    </row>
    <row r="129" spans="1:12" x14ac:dyDescent="0.25">
      <c r="A129">
        <v>10</v>
      </c>
      <c r="B129">
        <v>28</v>
      </c>
      <c r="C129">
        <v>7</v>
      </c>
      <c r="L129" t="str">
        <f>VLOOKUP(B135,players!A:B,2)</f>
        <v>Zuby Ejiofor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VLOOKUP(B136,players!A:B,2)</f>
        <v>Cole Anthony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VLOOKUP(B137,players!A:B,2)</f>
        <v>Khris Middleton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VLOOKUP(B138,players!A:B,2)</f>
        <v>John Collins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VLOOKUP(B139,players!A:B,2)</f>
        <v>Daniel Gafford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VLOOKUP(B140,players!A:B,2)</f>
        <v>Isaiah Hartenstein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VLOOKUP(B141,players!A:B,2)</f>
        <v>Jalen Smith</v>
      </c>
    </row>
    <row r="136" spans="1:12" x14ac:dyDescent="0.25">
      <c r="A136">
        <v>11</v>
      </c>
      <c r="B136">
        <v>327</v>
      </c>
      <c r="C136">
        <v>1</v>
      </c>
      <c r="L136" t="str">
        <f>VLOOKUP(B142,players!A:B,2)</f>
        <v>Domantas Sabonis</v>
      </c>
    </row>
    <row r="137" spans="1:12" x14ac:dyDescent="0.25">
      <c r="A137">
        <v>11</v>
      </c>
      <c r="B137">
        <v>213</v>
      </c>
      <c r="C137">
        <v>2</v>
      </c>
      <c r="L137" t="str">
        <f>VLOOKUP(B143,players!A:B,2)</f>
        <v>Desmond Bane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VLOOKUP(B144,players!A:B,2)</f>
        <v>Amen Thompson</v>
      </c>
    </row>
    <row r="139" spans="1:12" x14ac:dyDescent="0.25">
      <c r="A139">
        <v>11</v>
      </c>
      <c r="B139">
        <v>58</v>
      </c>
      <c r="C139">
        <v>4</v>
      </c>
      <c r="L139" t="str">
        <f>VLOOKUP(B145,players!A:B,2)</f>
        <v>Shai Gilgeous-Alexander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VLOOKUP(B146,players!A:B,2)</f>
        <v>CJ McCollum</v>
      </c>
    </row>
    <row r="141" spans="1:12" x14ac:dyDescent="0.25">
      <c r="A141">
        <v>11</v>
      </c>
      <c r="B141">
        <v>63</v>
      </c>
      <c r="C141">
        <v>6</v>
      </c>
      <c r="L141" t="str">
        <f>VLOOKUP(B147,players!A:B,2)</f>
        <v>Paul George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VLOOKUP(B148,players!A:B,2)</f>
        <v>Moritz Wagner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VLOOKUP(B149,players!A:B,2)</f>
        <v>Payton Pritchard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VLOOKUP(B150,players!A:B,2)</f>
        <v>Meleek Thomas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VLOOKUP(B151,players!A:B,2)</f>
        <v>Bradley Beal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VLOOKUP(B152,players!A:B,2)</f>
        <v>Buddy Hield</v>
      </c>
    </row>
    <row r="147" spans="1:12" x14ac:dyDescent="0.25">
      <c r="A147">
        <v>11</v>
      </c>
      <c r="B147">
        <v>109</v>
      </c>
      <c r="C147">
        <v>12</v>
      </c>
      <c r="L147" t="str">
        <f>VLOOKUP(B153,players!A:B,2)</f>
        <v>Brandin Podziemski</v>
      </c>
    </row>
    <row r="148" spans="1:12" x14ac:dyDescent="0.25">
      <c r="A148">
        <v>11</v>
      </c>
      <c r="B148">
        <v>266</v>
      </c>
      <c r="C148">
        <v>13</v>
      </c>
      <c r="L148" t="str">
        <f>VLOOKUP(B154,players!A:B,2)</f>
        <v>Chet Holmgren</v>
      </c>
    </row>
    <row r="149" spans="1:12" x14ac:dyDescent="0.25">
      <c r="A149">
        <v>11</v>
      </c>
      <c r="B149">
        <v>195</v>
      </c>
      <c r="C149">
        <v>14</v>
      </c>
      <c r="L149" t="str">
        <f>VLOOKUP(B155,players!A:B,2)</f>
        <v>Lauri Markkanen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VLOOKUP(B156,players!A:B,2)</f>
        <v>Devin Booker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VLOOKUP(B157,players!A:B,2)</f>
        <v>Tyrese Haliburton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VLOOKUP(B158,players!A:B,2)</f>
        <v>Kevin Porter Jr.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VLOOKUP(B159,players!A:B,2)</f>
        <v>A.J. Dybantsa</v>
      </c>
    </row>
    <row r="154" spans="1:12" x14ac:dyDescent="0.25">
      <c r="A154">
        <v>12</v>
      </c>
      <c r="B154">
        <v>22</v>
      </c>
      <c r="C154">
        <v>4</v>
      </c>
      <c r="L154" t="str">
        <f>VLOOKUP(B160,players!A:B,2)</f>
        <v>Nate Ament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VLOOKUP(B161,players!A:B,2)</f>
        <v>Davion Mitchell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VLOOKUP(B162,players!A:B,2)</f>
        <v>Jordan Poole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VLOOKUP(B163,players!A:B,2)</f>
        <v>Andrew Nembhard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VLOOKUP(B164,players!A:B,2)</f>
        <v>Aaron Nesmith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VLOOKUP(B165,players!A:B,2)</f>
        <v>Ivica Zubac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VLOOKUP(B166,players!A:B,2)</f>
        <v>Wendell Carter Jr.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VLOOKUP(B167,players!A:B,2)</f>
        <v>Victor Wembanyama</v>
      </c>
    </row>
    <row r="162" spans="1:12" x14ac:dyDescent="0.25">
      <c r="A162">
        <v>13</v>
      </c>
      <c r="B162">
        <v>363</v>
      </c>
      <c r="C162">
        <v>2</v>
      </c>
      <c r="L162" t="str">
        <f>VLOOKUP(B168,players!A:B,2)</f>
        <v>Josh Giddey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VLOOKUP(B169,players!A:B,2)</f>
        <v>Deni Avdija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VLOOKUP(B170,players!A:B,2)</f>
        <v>Pascal Siakam</v>
      </c>
    </row>
    <row r="165" spans="1:12" x14ac:dyDescent="0.25">
      <c r="A165">
        <v>13</v>
      </c>
      <c r="B165">
        <v>10</v>
      </c>
      <c r="C165">
        <v>5</v>
      </c>
      <c r="L165" t="str">
        <f>VLOOKUP(B171,players!A:B,2)</f>
        <v>Austin Reaves</v>
      </c>
    </row>
    <row r="166" spans="1:12" x14ac:dyDescent="0.25">
      <c r="A166">
        <v>13</v>
      </c>
      <c r="B166">
        <v>46</v>
      </c>
      <c r="C166">
        <v>6</v>
      </c>
      <c r="L166" t="str">
        <f>VLOOKUP(B172,players!A:B,2)</f>
        <v>Anfernee Simons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VLOOKUP(B173,players!A:B,2)</f>
        <v>Marcus Smart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VLOOKUP(B174,players!A:B,2)</f>
        <v>Jaime Jaquez Jr.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VLOOKUP(B175,players!A:B,2)</f>
        <v>Jimmy Butler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VLOOKUP(B176,players!A:B,2)</f>
        <v>Moussa Diabaté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VLOOKUP(B177,players!A:B,2)</f>
        <v>Coby White</v>
      </c>
    </row>
    <row r="172" spans="1:12" x14ac:dyDescent="0.25">
      <c r="A172">
        <v>14</v>
      </c>
      <c r="B172">
        <v>317</v>
      </c>
      <c r="C172">
        <v>1</v>
      </c>
      <c r="L172" t="str">
        <f>VLOOKUP(B178,players!A:B,2)</f>
        <v>Evan Mobley</v>
      </c>
    </row>
    <row r="173" spans="1:12" x14ac:dyDescent="0.25">
      <c r="A173">
        <v>14</v>
      </c>
      <c r="B173">
        <v>299</v>
      </c>
      <c r="C173">
        <v>2</v>
      </c>
      <c r="L173" t="str">
        <f>VLOOKUP(B179,players!A:B,2)</f>
        <v>LeBron James</v>
      </c>
    </row>
    <row r="174" spans="1:12" x14ac:dyDescent="0.25">
      <c r="A174">
        <v>14</v>
      </c>
      <c r="B174">
        <v>129</v>
      </c>
      <c r="C174">
        <v>3</v>
      </c>
      <c r="L174" t="str">
        <f>VLOOKUP(B180,players!A:B,2)</f>
        <v>Cooper Flagg</v>
      </c>
    </row>
    <row r="175" spans="1:12" x14ac:dyDescent="0.25">
      <c r="A175">
        <v>14</v>
      </c>
      <c r="B175">
        <v>90</v>
      </c>
      <c r="C175">
        <v>4</v>
      </c>
      <c r="L175" t="str">
        <f>VLOOKUP(B181,players!A:B,2)</f>
        <v>Karl-Anthony Towns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VLOOKUP(B182,players!A:B,2)</f>
        <v>Quentin Grimes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VLOOKUP(B183,players!A:B,2)</f>
        <v>LaMelo Ball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VLOOKUP(B184,players!A:B,2)</f>
        <v>Cason Wallace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VLOOKUP(B185,players!A:B,2)</f>
        <v>Dylan Harper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VLOOKUP(B186,players!A:B,2)</f>
        <v>Toumani Camara</v>
      </c>
    </row>
    <row r="181" spans="1:12" x14ac:dyDescent="0.25">
      <c r="A181">
        <v>14</v>
      </c>
      <c r="B181">
        <v>2</v>
      </c>
      <c r="C181">
        <v>10</v>
      </c>
      <c r="L181" t="str">
        <f>VLOOKUP(B187,players!A:B,2)</f>
        <v>Allen Graves</v>
      </c>
    </row>
    <row r="182" spans="1:12" x14ac:dyDescent="0.25">
      <c r="A182">
        <v>14</v>
      </c>
      <c r="B182">
        <v>220</v>
      </c>
      <c r="C182">
        <v>11</v>
      </c>
      <c r="L182" t="str">
        <f>VLOOKUP(B188,players!A:B,2)</f>
        <v>Royce O'Neale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VLOOKUP(B189,players!A:B,2)</f>
        <v>RJ Barrett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e">
        <f>VLOOKUP(B190,players!A:B,2)</f>
        <v>#N/A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e">
        <f>VLOOKUP(B191,players!A:B,2)</f>
        <v>#N/A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e">
        <f>VLOOKUP(B192,players!A:B,2)</f>
        <v>#N/A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e">
        <f>VLOOKUP(B193,players!A:B,2)</f>
        <v>#N/A</v>
      </c>
    </row>
    <row r="188" spans="1:12" x14ac:dyDescent="0.25">
      <c r="A188">
        <v>5</v>
      </c>
      <c r="B188">
        <v>148</v>
      </c>
      <c r="L188" t="e">
        <f>VLOOKUP(B195,players!A:B,2)</f>
        <v>#N/A</v>
      </c>
    </row>
    <row r="189" spans="1:12" x14ac:dyDescent="0.25">
      <c r="A189">
        <v>7</v>
      </c>
      <c r="B189">
        <v>107</v>
      </c>
      <c r="L189" t="e">
        <f>VLOOKUP(B194,players!A:B,2)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2026-08-09T14:43:54Z</dcterms:modified>
</cp:coreProperties>
</file>