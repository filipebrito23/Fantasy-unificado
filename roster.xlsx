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" documentId="11_99A569367B49D9CD84C3CDC2E5883E38D9AF0EAD" xr6:coauthVersionLast="47" xr6:coauthVersionMax="47" xr10:uidLastSave="{97E2A5F0-73B0-4120-956A-FB98B4C49D6B}"/>
  <bookViews>
    <workbookView xWindow="31530" yWindow="4365" windowWidth="21600" windowHeight="11835" firstSheet="2" activeTab="7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10" l="1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<sst xmlns="http://schemas.openxmlformats.org/spreadsheetml/2006/main" count="1924" uniqueCount="740">
  <si>
    <t>pick_id</t>
  </si>
  <si>
    <t>original_team_pick_id</t>
  </si>
  <si>
    <t>round</t>
  </si>
  <si>
    <t>year</t>
  </si>
  <si>
    <t>current_team_owner_id</t>
  </si>
  <si>
    <t>P2026_R1_T07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</si>
  <si>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</si>
  <si>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</si>
  <si>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</si>
  <si>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</si>
  <si>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</si>
  <si>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</si>
  <si>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</si>
  <si>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</si>
  <si>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</si>
  <si>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</si>
  <si>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</si>
  <si>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</si>
  <si>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</si>
  <si>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</si>
  <si>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</si>
  <si>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</si>
  <si>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</si>
  <si>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</si>
  <si>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</si>
  <si>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P2026_R1_T10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</si>
  <si>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</si>
  <si>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</si>
  <si>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</si>
  <si>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</si>
  <si>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</si>
  <si>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</si>
  <si>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</si>
  <si>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</si>
  <si>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</si>
  <si>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</si>
  <si>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</si>
  <si>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</si>
  <si>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</si>
  <si>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</si>
  <si>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</si>
  <si>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</si>
  <si>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</si>
  <si>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</si>
  <si>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</si>
  <si>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</si>
  <si>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P2026_R1_T14</t>
  </si>
  <si>
    <t>P2026_R1_T13</t>
  </si>
  <si>
    <t>P2026_R2_T14</t>
  </si>
  <si>
    <t>P2026_R2_T10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</si>
  <si>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</si>
  <si>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</si>
  <si>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</si>
  <si>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</si>
  <si>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</si>
  <si>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</si>
  <si>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</si>
  <si>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</si>
  <si>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</si>
  <si>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</si>
  <si>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</si>
  <si>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</si>
  <si>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</si>
  <si>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</si>
  <si>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</si>
  <si>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</si>
  <si>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</si>
  <si>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</si>
  <si>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</si>
  <si>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</si>
  <si>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</si>
  <si>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</si>
  <si>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</si>
  <si>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</si>
  <si>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</si>
  <si>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</si>
  <si>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</si>
  <si>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</si>
  <si>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</si>
  <si>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</si>
  <si>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</si>
  <si>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</si>
  <si>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</si>
  <si>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</si>
  <si>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</si>
  <si>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</si>
  <si>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</si>
  <si>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</si>
  <si>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</si>
  <si>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</si>
  <si>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</si>
  <si>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</si>
  <si>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</si>
  <si>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</si>
  <si>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</si>
  <si>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</si>
  <si>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</si>
  <si>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</si>
  <si>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</si>
  <si>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</si>
  <si>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</si>
  <si>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</si>
  <si>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</si>
  <si>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P2026_R1_T04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</si>
  <si>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</si>
  <si>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</si>
  <si>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</si>
  <si>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</si>
  <si>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</si>
  <si>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</si>
  <si>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</si>
  <si>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</si>
  <si>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</si>
  <si>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</si>
  <si>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</si>
  <si>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</si>
  <si>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</si>
  <si>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</si>
  <si>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</si>
  <si>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</si>
  <si>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</si>
  <si>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</si>
  <si>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</si>
  <si>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</si>
  <si>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</si>
  <si>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</si>
  <si>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</si>
  <si>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</si>
  <si>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</si>
  <si>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</si>
  <si>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</si>
  <si>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</si>
  <si>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</si>
  <si>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</si>
  <si>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</si>
  <si>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</si>
  <si>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</si>
  <si>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</si>
  <si>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</si>
  <si>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</si>
  <si>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</si>
  <si>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</si>
  <si>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</si>
  <si>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</si>
  <si>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</si>
  <si>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</si>
  <si>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</si>
  <si>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</si>
  <si>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</si>
  <si>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</si>
  <si>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</si>
  <si>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</si>
  <si>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</si>
  <si>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</si>
  <si>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</si>
  <si>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</si>
  <si>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</si>
  <si>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</si>
  <si>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</si>
  <si>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</si>
  <si>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</si>
  <si>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</si>
  <si>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</si>
  <si>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</si>
  <si>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</si>
  <si>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</si>
  <si>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</si>
  <si>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</si>
  <si>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</si>
  <si>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</si>
  <si>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</si>
  <si>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</si>
  <si>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</si>
  <si>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</si>
  <si>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</si>
  <si>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</si>
  <si>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</si>
  <si>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</si>
  <si>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</si>
  <si>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</si>
  <si>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</si>
  <si>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</si>
  <si>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</si>
  <si>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</si>
  <si>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</si>
  <si>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</si>
  <si>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</si>
  <si>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</si>
  <si>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</si>
  <si>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</si>
  <si>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</si>
  <si>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</si>
  <si>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</si>
  <si>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</si>
  <si>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</si>
  <si>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</si>
  <si>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</si>
  <si>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</si>
  <si>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</si>
  <si>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</si>
  <si>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</si>
  <si>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</si>
  <si>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</si>
  <si>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</si>
  <si>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</si>
  <si>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</si>
  <si>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</si>
  <si>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</si>
  <si>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</si>
  <si>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</si>
  <si>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</si>
  <si>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</si>
  <si>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</si>
  <si>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</si>
  <si>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</si>
  <si>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</si>
  <si>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</si>
  <si>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</si>
  <si>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</si>
  <si>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</si>
  <si>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</si>
  <si>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</si>
  <si>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</si>
  <si>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</si>
  <si>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</si>
  <si>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</si>
  <si>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</si>
  <si>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</si>
  <si>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</si>
  <si>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</si>
  <si>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</si>
  <si>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</si>
  <si>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</si>
  <si>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</si>
  <si>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</si>
  <si>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</si>
  <si>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</si>
  <si>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</si>
  <si>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</si>
  <si>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</si>
  <si>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</si>
  <si>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</si>
  <si>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</si>
  <si>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</si>
  <si>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</si>
  <si>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</si>
  <si>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</si>
  <si>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</si>
  <si>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</si>
  <si>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</si>
  <si>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</si>
  <si>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</si>
  <si>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</si>
  <si>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</si>
  <si>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</si>
  <si>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</si>
  <si>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</si>
  <si>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</si>
  <si>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</si>
  <si>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</si>
  <si>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</si>
  <si>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</si>
  <si>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</si>
  <si>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</si>
  <si>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</si>
  <si>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</si>
  <si>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</si>
  <si>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</si>
  <si>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</si>
  <si>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</si>
  <si>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</si>
  <si>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</si>
  <si>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</si>
  <si>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</si>
  <si>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</si>
  <si>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</si>
  <si>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</si>
  <si>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</si>
  <si>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</si>
  <si>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</si>
  <si>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</si>
  <si>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</si>
  <si>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</si>
  <si>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</si>
  <si>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</si>
  <si>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</si>
  <si>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</si>
  <si>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</si>
  <si>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</si>
  <si>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</si>
  <si>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</si>
  <si>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</si>
  <si>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</si>
  <si>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</si>
  <si>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</si>
  <si>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</si>
  <si>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</si>
  <si>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</si>
  <si>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</si>
  <si>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</si>
  <si>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</si>
  <si>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</si>
  <si>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</si>
  <si>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</si>
  <si>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</si>
  <si>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</si>
  <si>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</si>
  <si>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</si>
  <si>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</si>
  <si>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</si>
  <si>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</si>
  <si>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</si>
  <si>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</si>
  <si>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</si>
  <si>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</si>
  <si>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</si>
  <si>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</si>
  <si>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</si>
  <si>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</si>
  <si>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</si>
  <si>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</si>
  <si>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</si>
  <si>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</si>
  <si>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</si>
  <si>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</si>
  <si>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</si>
  <si>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</si>
  <si>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</si>
  <si>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</si>
  <si>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</si>
  <si>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</si>
  <si>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</si>
  <si>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</si>
  <si>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</si>
  <si>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</si>
  <si>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</si>
  <si>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</si>
  <si>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</si>
  <si>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</si>
  <si>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</si>
  <si>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</si>
  <si>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</si>
  <si>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</si>
  <si>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</si>
  <si>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</si>
  <si>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</si>
  <si>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</si>
  <si>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</si>
  <si>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</si>
  <si>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</si>
  <si>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</si>
  <si>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</si>
  <si>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</si>
  <si>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</si>
  <si>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</si>
  <si>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</si>
  <si>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</si>
  <si>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</si>
  <si>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</si>
  <si>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</si>
  <si>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</si>
  <si>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</si>
  <si>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</si>
  <si>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</si>
  <si>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</si>
  <si>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</si>
  <si>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</si>
  <si>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</si>
  <si>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</si>
  <si>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</si>
  <si>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</si>
  <si>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</si>
  <si>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</si>
  <si>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</si>
  <si>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</si>
  <si>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</si>
  <si>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</si>
  <si>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</si>
  <si>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</si>
  <si>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</si>
  <si>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</si>
  <si>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</si>
  <si>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</si>
  <si>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</si>
  <si>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</si>
  <si>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</si>
  <si>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</si>
  <si>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</si>
  <si>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</si>
  <si>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</si>
  <si>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</si>
  <si>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</si>
  <si>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</si>
  <si>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</si>
  <si>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</si>
  <si>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</si>
  <si>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</si>
  <si>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</si>
  <si>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</si>
  <si>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</si>
  <si>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</si>
  <si>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</si>
  <si>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</si>
  <si>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</si>
  <si>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</si>
  <si>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</si>
  <si>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</si>
  <si>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</si>
  <si>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</si>
  <si>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</si>
  <si>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</si>
  <si>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</si>
  <si>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</si>
  <si>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</si>
  <si>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</si>
  <si>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</si>
  <si>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</si>
  <si>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</si>
  <si>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</si>
  <si>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</si>
  <si>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</si>
  <si>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</si>
  <si>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</si>
  <si>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</si>
  <si>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</si>
  <si>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</si>
  <si>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</si>
  <si>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</si>
  <si>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</si>
  <si>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</si>
  <si>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</si>
  <si>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</si>
  <si>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</si>
  <si>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</si>
  <si>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</si>
  <si>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</si>
  <si>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</si>
  <si>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</si>
  <si>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</si>
  <si>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</si>
  <si>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</si>
  <si>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</si>
  <si>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</si>
  <si>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</si>
  <si>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</si>
  <si>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</si>
  <si>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</si>
  <si>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</si>
  <si>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</si>
  <si>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</si>
  <si>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</si>
  <si>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</si>
  <si>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</si>
  <si>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</si>
  <si>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</si>
  <si>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</si>
  <si>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</si>
  <si>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</si>
  <si>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</si>
  <si>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</si>
  <si>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</si>
  <si>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</si>
  <si>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</si>
  <si>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</si>
  <si>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</si>
  <si>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</si>
  <si>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</si>
  <si>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</si>
  <si>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</si>
  <si>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</si>
  <si>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</si>
  <si>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</si>
  <si>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</si>
  <si>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</si>
  <si>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</si>
  <si>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</si>
  <si>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</si>
  <si>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</si>
  <si>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</si>
  <si>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</si>
  <si>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</si>
  <si>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</si>
  <si>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</si>
  <si>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</si>
  <si>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</si>
  <si>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</si>
  <si>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</si>
  <si>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</si>
  <si>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</si>
  <si>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</si>
  <si>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</si>
  <si>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</si>
  <si>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</si>
  <si>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</si>
  <si>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</si>
  <si>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</si>
  <si>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</si>
  <si>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</si>
  <si>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</si>
  <si>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</si>
  <si>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</si>
  <si>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</si>
  <si>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</si>
  <si>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</si>
  <si>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</si>
  <si>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</si>
  <si>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</si>
  <si>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</si>
  <si>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</si>
  <si>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</si>
  <si>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</si>
  <si>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</si>
  <si>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</si>
  <si>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</si>
  <si>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</si>
  <si>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</si>
  <si>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</si>
  <si>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</si>
  <si>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</si>
  <si>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</si>
  <si>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</si>
  <si>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</si>
  <si>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</si>
  <si>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</si>
  <si>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</si>
  <si>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</si>
  <si>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</si>
  <si>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</si>
  <si>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</si>
  <si>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</si>
  <si>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</si>
  <si>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</si>
  <si>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</si>
  <si>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</si>
  <si>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</si>
  <si>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</si>
  <si>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</si>
  <si>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</si>
  <si>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</si>
  <si>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</si>
  <si>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</si>
  <si>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</si>
  <si>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</si>
  <si>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</si>
  <si>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</si>
  <si>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</si>
  <si>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</si>
  <si>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</si>
  <si>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</si>
  <si>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</si>
  <si>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</si>
  <si>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</si>
  <si>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</si>
  <si>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</si>
  <si>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</si>
  <si>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</si>
  <si>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</si>
  <si>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</si>
  <si>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</si>
  <si>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</si>
  <si>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</si>
  <si>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</si>
  <si>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</si>
  <si>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</si>
  <si>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</si>
  <si>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</si>
  <si>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</si>
  <si>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</si>
  <si>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</si>
  <si>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</si>
  <si>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</si>
  <si>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</si>
  <si>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</si>
  <si>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</si>
  <si>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</si>
  <si>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</si>
  <si>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</si>
  <si>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</si>
  <si>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</si>
  <si>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</si>
  <si>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</si>
  <si>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</si>
  <si>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</si>
  <si>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</si>
  <si>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</si>
  <si>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</si>
  <si>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</si>
  <si>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</si>
  <si>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</si>
  <si>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</si>
  <si>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</si>
  <si>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</si>
  <si>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</si>
  <si>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</si>
  <si>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</si>
  <si>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</si>
  <si>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</si>
  <si>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</si>
  <si>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</si>
  <si>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</si>
  <si>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</si>
  <si>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</si>
  <si>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</si>
  <si>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</si>
  <si>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</si>
  <si>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</si>
  <si>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</si>
  <si>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</si>
  <si>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</si>
  <si>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</si>
  <si>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</si>
  <si>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</si>
  <si>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</si>
  <si>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</si>
  <si>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</si>
  <si>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</si>
  <si>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</si>
  <si>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</si>
  <si>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</si>
  <si>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</si>
  <si>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</si>
  <si>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</si>
  <si>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</si>
  <si>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</si>
  <si>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</si>
  <si>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</si>
  <si>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</si>
  <si>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</si>
  <si>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</si>
  <si>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</si>
  <si>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</si>
  <si>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</si>
  <si>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</si>
  <si>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</si>
  <si>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</si>
  <si>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</si>
  <si>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</si>
  <si>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</si>
  <si>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</si>
  <si>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</si>
  <si>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</si>
  <si>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</si>
  <si>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</si>
  <si>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</si>
  <si>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</si>
  <si>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</si>
  <si>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</si>
  <si>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</si>
  <si>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</si>
  <si>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</si>
  <si>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</si>
  <si>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</si>
  <si>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</si>
  <si>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</si>
  <si>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</si>
  <si>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</si>
  <si>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</si>
  <si>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</si>
  <si>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</si>
  <si>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</si>
  <si>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</si>
  <si>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</si>
  <si>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</si>
  <si>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</si>
  <si>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</si>
  <si>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</si>
  <si>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</si>
  <si>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</si>
  <si>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</si>
  <si>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</si>
  <si>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</si>
  <si>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</si>
  <si>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</si>
  <si>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</si>
  <si>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</si>
  <si>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</si>
  <si>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</si>
  <si>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</si>
  <si>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</si>
  <si>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</si>
  <si>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</si>
  <si>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</si>
  <si>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</si>
  <si>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</si>
  <si>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</si>
  <si>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</si>
  <si>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</si>
  <si>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</si>
  <si>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</si>
  <si>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</si>
  <si>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</si>
  <si>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</si>
  <si>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</si>
  <si>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</si>
  <si>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</si>
  <si>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</si>
  <si>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</si>
  <si>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</si>
  <si>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</si>
  <si>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</si>
  <si>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</si>
  <si>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</si>
  <si>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</si>
  <si>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</si>
  <si>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</si>
  <si>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</si>
  <si>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</si>
  <si>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</si>
  <si>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</si>
  <si>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</si>
  <si>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</si>
  <si>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</si>
  <si>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</si>
  <si>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</si>
  <si>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</si>
  <si>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</si>
  <si>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</si>
  <si>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</si>
  <si>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</si>
  <si>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__dup1</t>
  </si>
  <si>
    <t>__dup2</t>
  </si>
  <si>
    <t>__dup3</t>
  </si>
  <si>
    <t>pick</t>
  </si>
  <si>
    <t>player</t>
  </si>
  <si>
    <t>main</t>
  </si>
  <si>
    <t>P2026_R1_T5</t>
  </si>
  <si>
    <t>dev</t>
  </si>
  <si>
    <t>Multa 150.000 em 3 anos</t>
  </si>
  <si>
    <t>Multa 150.000 em 1 ano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</si>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</sst>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417" workbookViewId="0">
      <selection activeCell="H443" sqref="H44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124</v>
      </c>
      <c r="I1" t="s">
        <v>125</v>
      </c>
      <c r="J1" t="s">
        <v>126</v>
      </c>
      <c r="K1" t="s">
        <v>127</v>
      </c>
      <c r="L1" t="s">
        <v>128</v>
      </c>
      <c r="M1" t="s">
        <v>129</v>
      </c>
    </row>
    <row r="2" spans="1:13" x14ac:dyDescent="0.25">
      <c r="A2">
        <v>1</v>
      </c>
      <c r="B2" s="1" t="s">
        <v>130</v>
      </c>
      <c r="C2" s="1"/>
      <c r="D2" s="1" t="s">
        <v>131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132</v>
      </c>
      <c r="C3" s="1"/>
      <c r="D3" s="1" t="s">
        <v>131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133</v>
      </c>
      <c r="D4" s="1" t="s">
        <v>131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134</v>
      </c>
      <c r="C5" s="1"/>
      <c r="D5" s="1" t="s">
        <v>131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135</v>
      </c>
      <c r="D6" s="1" t="s">
        <v>131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136</v>
      </c>
      <c r="D7" s="1" t="s">
        <v>137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138</v>
      </c>
      <c r="C8" s="1"/>
      <c r="D8" s="1" t="s">
        <v>131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139</v>
      </c>
      <c r="D9" s="1" t="s">
        <v>131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140</v>
      </c>
      <c r="D10" s="1" t="s">
        <v>131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141</v>
      </c>
      <c r="D11" s="1" t="s">
        <v>131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142</v>
      </c>
      <c r="C12" s="1"/>
      <c r="D12" s="1" t="s">
        <v>131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143</v>
      </c>
      <c r="D13" s="1" t="s">
        <v>144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145</v>
      </c>
      <c r="D14" s="1" t="s">
        <v>131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146</v>
      </c>
      <c r="C15" s="1"/>
      <c r="D15" s="1" t="s">
        <v>144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147</v>
      </c>
      <c r="C16" s="1"/>
      <c r="D16" s="1" t="s">
        <v>148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149</v>
      </c>
      <c r="C17" s="1"/>
      <c r="D17" s="1" t="s">
        <v>131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150</v>
      </c>
      <c r="C18" s="1"/>
      <c r="D18" s="1" t="s">
        <v>137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151</v>
      </c>
      <c r="D19" s="1" t="s">
        <v>131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152</v>
      </c>
      <c r="D20" s="1" t="s">
        <v>137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153</v>
      </c>
      <c r="D21" s="1" t="s">
        <v>131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154</v>
      </c>
      <c r="C22" s="1"/>
      <c r="D22" s="1" t="s">
        <v>131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155</v>
      </c>
      <c r="D23" s="1" t="s">
        <v>137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156</v>
      </c>
      <c r="D24" s="1" t="s">
        <v>131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157</v>
      </c>
      <c r="D25" s="1" t="s">
        <v>131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158</v>
      </c>
      <c r="D26" s="1" t="s">
        <v>131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159</v>
      </c>
      <c r="C27" s="1"/>
      <c r="D27" s="1" t="s">
        <v>131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160</v>
      </c>
      <c r="C28" s="1"/>
      <c r="D28" s="1" t="s">
        <v>144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161</v>
      </c>
      <c r="D29" s="1" t="s">
        <v>131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162</v>
      </c>
      <c r="D30" s="1" t="s">
        <v>131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163</v>
      </c>
      <c r="D31" s="1" t="s">
        <v>131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164</v>
      </c>
      <c r="D32" s="1" t="s">
        <v>165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166</v>
      </c>
      <c r="C33" s="1"/>
      <c r="D33" s="1" t="s">
        <v>167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168</v>
      </c>
      <c r="D34" s="1" t="s">
        <v>131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169</v>
      </c>
      <c r="D35" s="1" t="s">
        <v>131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170</v>
      </c>
      <c r="D36" s="1" t="s">
        <v>148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171</v>
      </c>
      <c r="C37" s="1"/>
      <c r="D37" s="1" t="s">
        <v>167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172</v>
      </c>
      <c r="C38" s="1"/>
      <c r="D38" s="1" t="s">
        <v>131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173</v>
      </c>
      <c r="D39" s="1" t="s">
        <v>144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174</v>
      </c>
      <c r="D40" s="1" t="s">
        <v>131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175</v>
      </c>
      <c r="D41" s="1" t="s">
        <v>148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176</v>
      </c>
      <c r="D42" s="1" t="s">
        <v>131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177</v>
      </c>
      <c r="D43" s="1" t="s">
        <v>131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178</v>
      </c>
      <c r="D44" s="1" t="s">
        <v>131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179</v>
      </c>
      <c r="D45" s="1" t="s">
        <v>131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180</v>
      </c>
      <c r="D46" s="1" t="s">
        <v>181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182</v>
      </c>
      <c r="D47" s="1" t="s">
        <v>137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183</v>
      </c>
      <c r="D48" s="1" t="s">
        <v>131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184</v>
      </c>
      <c r="C49" s="1"/>
      <c r="D49" s="1" t="s">
        <v>148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185</v>
      </c>
      <c r="D50" s="1" t="s">
        <v>131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186</v>
      </c>
      <c r="D51" s="1" t="s">
        <v>137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187</v>
      </c>
      <c r="D52" s="1" t="s">
        <v>131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188</v>
      </c>
      <c r="D53" s="1" t="s">
        <v>131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189</v>
      </c>
      <c r="C54" s="1"/>
      <c r="D54" s="1" t="s">
        <v>181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190</v>
      </c>
      <c r="D55" s="1" t="s">
        <v>137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191</v>
      </c>
      <c r="C56" s="1"/>
      <c r="D56" s="1" t="s">
        <v>165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192</v>
      </c>
      <c r="D57" s="1" t="s">
        <v>144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193</v>
      </c>
      <c r="D58" s="1" t="s">
        <v>131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194</v>
      </c>
      <c r="D59" s="1" t="s">
        <v>131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195</v>
      </c>
      <c r="D60" s="1" t="s">
        <v>181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196</v>
      </c>
      <c r="D61" s="1" t="s">
        <v>144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197</v>
      </c>
      <c r="D62" s="1" t="s">
        <v>148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198</v>
      </c>
      <c r="D63" s="1" t="s">
        <v>137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199</v>
      </c>
      <c r="D64" s="1" t="s">
        <v>137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200</v>
      </c>
      <c r="D65" s="1" t="s">
        <v>131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201</v>
      </c>
      <c r="D66" s="1" t="s">
        <v>131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202</v>
      </c>
      <c r="D67" s="1" t="s">
        <v>137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203</v>
      </c>
      <c r="D68" s="1" t="s">
        <v>131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204</v>
      </c>
      <c r="C69" s="1"/>
      <c r="D69" s="1" t="s">
        <v>148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205</v>
      </c>
      <c r="D70" s="1" t="s">
        <v>137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206</v>
      </c>
      <c r="D71" s="1" t="s">
        <v>207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208</v>
      </c>
      <c r="D72" s="1" t="s">
        <v>148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209</v>
      </c>
      <c r="D73" s="1" t="s">
        <v>137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210</v>
      </c>
      <c r="C74" s="1"/>
      <c r="D74" s="1" t="s">
        <v>148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211</v>
      </c>
      <c r="D75" s="1" t="s">
        <v>137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212</v>
      </c>
      <c r="D76" s="1" t="s">
        <v>131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213</v>
      </c>
      <c r="D77" s="1" t="s">
        <v>181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214</v>
      </c>
      <c r="C78" s="1"/>
      <c r="D78" s="1" t="s">
        <v>165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215</v>
      </c>
      <c r="D79" s="1" t="s">
        <v>144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216</v>
      </c>
      <c r="D80" s="1" t="s">
        <v>144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217</v>
      </c>
      <c r="D81" s="1" t="s">
        <v>165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218</v>
      </c>
      <c r="D82" s="1" t="s">
        <v>144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219</v>
      </c>
      <c r="D83" s="1" t="s">
        <v>131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220</v>
      </c>
      <c r="C84" s="1"/>
      <c r="D84" s="1" t="s">
        <v>181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221</v>
      </c>
      <c r="C85" s="1"/>
      <c r="D85" s="1" t="s">
        <v>144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222</v>
      </c>
      <c r="C86" s="1"/>
      <c r="D86" s="1" t="s">
        <v>137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223</v>
      </c>
      <c r="D87" s="1" t="s">
        <v>144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224</v>
      </c>
      <c r="D88" s="1" t="s">
        <v>144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225</v>
      </c>
      <c r="D89" s="1" t="s">
        <v>165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226</v>
      </c>
      <c r="C90" s="1"/>
      <c r="D90" s="1" t="s">
        <v>165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227</v>
      </c>
      <c r="D91" s="1" t="s">
        <v>148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228</v>
      </c>
      <c r="D92" s="1" t="s">
        <v>165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229</v>
      </c>
      <c r="C93" s="1"/>
      <c r="D93" s="1" t="s">
        <v>207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230</v>
      </c>
      <c r="D94" s="1" t="s">
        <v>144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231</v>
      </c>
      <c r="D95" s="1" t="s">
        <v>131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232</v>
      </c>
      <c r="D96" s="1" t="s">
        <v>165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233</v>
      </c>
      <c r="C97" s="1"/>
      <c r="D97" s="1" t="s">
        <v>148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234</v>
      </c>
      <c r="C98" s="1"/>
      <c r="D98" s="1" t="s">
        <v>235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236</v>
      </c>
      <c r="D99" s="1" t="s">
        <v>137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237</v>
      </c>
      <c r="D100" s="1" t="s">
        <v>131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238</v>
      </c>
      <c r="D101" s="1" t="s">
        <v>144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239</v>
      </c>
      <c r="D102" s="1" t="s">
        <v>165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240</v>
      </c>
      <c r="D103" s="1" t="s">
        <v>167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241</v>
      </c>
      <c r="D104" s="1" t="s">
        <v>181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242</v>
      </c>
      <c r="D105" s="1" t="s">
        <v>148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243</v>
      </c>
      <c r="D106" s="1" t="s">
        <v>165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244</v>
      </c>
      <c r="D107" s="1" t="s">
        <v>207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245</v>
      </c>
      <c r="D108" s="1" t="s">
        <v>181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246</v>
      </c>
      <c r="D109" s="1" t="s">
        <v>165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247</v>
      </c>
      <c r="D110" s="1" t="s">
        <v>181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248</v>
      </c>
      <c r="C111" s="1"/>
      <c r="D111" s="1" t="s">
        <v>167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249</v>
      </c>
      <c r="D112" s="1" t="s">
        <v>137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250</v>
      </c>
      <c r="D113" s="1" t="s">
        <v>131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251</v>
      </c>
      <c r="D114" s="1" t="s">
        <v>131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252</v>
      </c>
      <c r="C115" s="1"/>
      <c r="D115" s="1" t="s">
        <v>148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253</v>
      </c>
      <c r="D116" s="1" t="s">
        <v>167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254</v>
      </c>
      <c r="D117" s="1" t="s">
        <v>131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255</v>
      </c>
      <c r="C118" s="1"/>
      <c r="D118" s="1" t="s">
        <v>148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256</v>
      </c>
      <c r="D119" s="1" t="s">
        <v>144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257</v>
      </c>
      <c r="D120" s="1" t="s">
        <v>148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258</v>
      </c>
      <c r="D121" s="1" t="s">
        <v>181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259</v>
      </c>
      <c r="D122" s="1" t="s">
        <v>144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260</v>
      </c>
      <c r="D123" s="1" t="s">
        <v>148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261</v>
      </c>
      <c r="D124" s="1" t="s">
        <v>165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262</v>
      </c>
      <c r="D125" s="1" t="s">
        <v>144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263</v>
      </c>
      <c r="D126" s="1" t="s">
        <v>131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264</v>
      </c>
      <c r="D127" s="1" t="s">
        <v>144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265</v>
      </c>
      <c r="D128" s="1" t="s">
        <v>131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266</v>
      </c>
      <c r="C129" s="1"/>
      <c r="D129" s="1" t="s">
        <v>181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267</v>
      </c>
      <c r="D130" s="1" t="s">
        <v>148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268</v>
      </c>
      <c r="D131" s="1" t="s">
        <v>181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269</v>
      </c>
      <c r="D132" s="1" t="s">
        <v>131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270</v>
      </c>
      <c r="D133" s="1" t="s">
        <v>131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271</v>
      </c>
      <c r="D134" s="1" t="s">
        <v>144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272</v>
      </c>
      <c r="D135" s="1" t="s">
        <v>165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273</v>
      </c>
      <c r="D136" s="1" t="s">
        <v>131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274</v>
      </c>
      <c r="C137" s="1"/>
      <c r="D137" s="1" t="s">
        <v>148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275</v>
      </c>
      <c r="D138" s="1" t="s">
        <v>165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276</v>
      </c>
      <c r="D139" s="1" t="s">
        <v>131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277</v>
      </c>
      <c r="D140" s="1" t="s">
        <v>144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278</v>
      </c>
      <c r="D141" s="1" t="s">
        <v>235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279</v>
      </c>
      <c r="D142" s="1" t="s">
        <v>131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280</v>
      </c>
      <c r="C143" s="1"/>
      <c r="D143" s="1" t="s">
        <v>167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281</v>
      </c>
      <c r="C144" s="1"/>
      <c r="D144" s="1" t="s">
        <v>167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282</v>
      </c>
      <c r="C145" s="1"/>
      <c r="D145" s="1" t="s">
        <v>167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283</v>
      </c>
      <c r="C146" s="1"/>
      <c r="D146" s="1" t="s">
        <v>235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284</v>
      </c>
      <c r="D147" s="1" t="s">
        <v>148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285</v>
      </c>
      <c r="D148" s="1" t="s">
        <v>181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286</v>
      </c>
      <c r="D149" s="1" t="s">
        <v>181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287</v>
      </c>
      <c r="D150" s="1" t="s">
        <v>144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288</v>
      </c>
      <c r="C151" s="1"/>
      <c r="D151" s="1" t="s">
        <v>167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289</v>
      </c>
      <c r="D152" s="1" t="s">
        <v>165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290</v>
      </c>
      <c r="D153" s="1" t="s">
        <v>235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291</v>
      </c>
      <c r="D154" s="1" t="s">
        <v>148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292</v>
      </c>
      <c r="D155" s="1" t="s">
        <v>235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293</v>
      </c>
      <c r="D156" s="1" t="s">
        <v>165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294</v>
      </c>
      <c r="D157" s="1" t="s">
        <v>207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295</v>
      </c>
      <c r="C158" s="1"/>
      <c r="D158" s="1" t="s">
        <v>167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296</v>
      </c>
      <c r="D159" s="1" t="s">
        <v>148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297</v>
      </c>
      <c r="D160" s="1" t="s">
        <v>131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298</v>
      </c>
      <c r="D161" s="1" t="s">
        <v>167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299</v>
      </c>
      <c r="D162" s="1" t="s">
        <v>235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300</v>
      </c>
      <c r="D163" s="1" t="s">
        <v>167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301</v>
      </c>
      <c r="D164" s="1" t="s">
        <v>144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302</v>
      </c>
      <c r="D165" s="1" t="s">
        <v>165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303</v>
      </c>
      <c r="D166" s="1" t="s">
        <v>131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304</v>
      </c>
      <c r="D167" s="1" t="s">
        <v>167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305</v>
      </c>
      <c r="C168" s="1"/>
      <c r="D168" s="1" t="s">
        <v>167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306</v>
      </c>
      <c r="D169" s="1" t="s">
        <v>137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307</v>
      </c>
      <c r="D170" s="1" t="s">
        <v>181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308</v>
      </c>
      <c r="D171" s="1" t="s">
        <v>165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309</v>
      </c>
      <c r="D172" s="1" t="s">
        <v>181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310</v>
      </c>
      <c r="D173" s="1" t="s">
        <v>165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311</v>
      </c>
      <c r="D174" s="1" t="s">
        <v>165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312</v>
      </c>
      <c r="D175" s="1" t="s">
        <v>165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313</v>
      </c>
      <c r="D176" s="1" t="s">
        <v>144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314</v>
      </c>
      <c r="C177" s="1"/>
      <c r="D177" s="1" t="s">
        <v>167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315</v>
      </c>
      <c r="D178" s="1" t="s">
        <v>181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316</v>
      </c>
      <c r="D179" s="1" t="s">
        <v>148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317</v>
      </c>
      <c r="D180" s="1" t="s">
        <v>235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318</v>
      </c>
      <c r="D181" s="1" t="s">
        <v>144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319</v>
      </c>
      <c r="D182" s="1" t="s">
        <v>167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320</v>
      </c>
      <c r="D183" s="1" t="s">
        <v>131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321</v>
      </c>
      <c r="D184" s="1" t="s">
        <v>131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322</v>
      </c>
      <c r="D185" s="1" t="s">
        <v>167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323</v>
      </c>
      <c r="D186" s="1" t="s">
        <v>165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324</v>
      </c>
      <c r="D187" s="1" t="s">
        <v>181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325</v>
      </c>
      <c r="D188" s="1" t="s">
        <v>131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326</v>
      </c>
      <c r="D189" s="1" t="s">
        <v>144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327</v>
      </c>
      <c r="D190" s="1" t="s">
        <v>165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328</v>
      </c>
      <c r="D191" s="1" t="s">
        <v>144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329</v>
      </c>
      <c r="D192" s="1" t="s">
        <v>144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330</v>
      </c>
      <c r="D193" s="1" t="s">
        <v>144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331</v>
      </c>
      <c r="D194" s="1" t="s">
        <v>144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332</v>
      </c>
      <c r="C195" s="1"/>
      <c r="D195" s="1" t="s">
        <v>181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333</v>
      </c>
      <c r="D196" s="1" t="s">
        <v>235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334</v>
      </c>
      <c r="D197" s="1" t="s">
        <v>167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335</v>
      </c>
      <c r="D198" s="1" t="s">
        <v>144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336</v>
      </c>
      <c r="D199" s="1" t="s">
        <v>207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337</v>
      </c>
      <c r="D200" s="1" t="s">
        <v>165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338</v>
      </c>
      <c r="D201" s="1" t="s">
        <v>207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339</v>
      </c>
      <c r="D202" s="1" t="s">
        <v>207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340</v>
      </c>
      <c r="D203" s="1" t="s">
        <v>144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341</v>
      </c>
      <c r="D204" s="1" t="s">
        <v>235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342</v>
      </c>
      <c r="D205" s="1" t="s">
        <v>167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343</v>
      </c>
      <c r="D206" s="1" t="s">
        <v>181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344</v>
      </c>
      <c r="D207" s="1" t="s">
        <v>144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345</v>
      </c>
      <c r="D208" s="1" t="s">
        <v>165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346</v>
      </c>
      <c r="D209" s="1" t="s">
        <v>144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347</v>
      </c>
      <c r="D210" s="1" t="s">
        <v>207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348</v>
      </c>
      <c r="D211" s="1" t="s">
        <v>207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349</v>
      </c>
      <c r="C212" s="1"/>
      <c r="D212" s="1" t="s">
        <v>207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350</v>
      </c>
      <c r="D213" s="1" t="s">
        <v>235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351</v>
      </c>
      <c r="D214" s="1" t="s">
        <v>181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352</v>
      </c>
      <c r="D215" s="1" t="s">
        <v>165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353</v>
      </c>
      <c r="D216" s="1" t="s">
        <v>144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354</v>
      </c>
      <c r="D217" s="1" t="s">
        <v>144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355</v>
      </c>
      <c r="C218" s="1"/>
      <c r="D218" s="1" t="s">
        <v>235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356</v>
      </c>
      <c r="D219" s="1" t="s">
        <v>165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357</v>
      </c>
      <c r="D220" s="1" t="s">
        <v>207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358</v>
      </c>
      <c r="D221" s="1" t="s">
        <v>181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359</v>
      </c>
      <c r="D222" s="1" t="s">
        <v>131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360</v>
      </c>
      <c r="D223" s="1" t="s">
        <v>165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361</v>
      </c>
      <c r="D224" s="1" t="s">
        <v>207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362</v>
      </c>
      <c r="D225" s="1" t="s">
        <v>165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363</v>
      </c>
      <c r="C226" s="1"/>
      <c r="D226" s="1" t="s">
        <v>207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364</v>
      </c>
      <c r="D227" s="1" t="s">
        <v>167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365</v>
      </c>
      <c r="C228" s="1"/>
      <c r="D228" s="1" t="s">
        <v>148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366</v>
      </c>
      <c r="D229" s="1" t="s">
        <v>207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367</v>
      </c>
      <c r="D230" s="1" t="s">
        <v>165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368</v>
      </c>
      <c r="D231" s="1" t="s">
        <v>165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369</v>
      </c>
      <c r="D232" s="1" t="s">
        <v>207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370</v>
      </c>
      <c r="D233" s="1" t="s">
        <v>144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371</v>
      </c>
      <c r="D234" s="1" t="s">
        <v>165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372</v>
      </c>
      <c r="D235" s="1" t="s">
        <v>131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373</v>
      </c>
      <c r="D236" s="1" t="s">
        <v>207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374</v>
      </c>
      <c r="D237" s="1" t="s">
        <v>207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375</v>
      </c>
      <c r="D238" s="1" t="s">
        <v>167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376</v>
      </c>
      <c r="C239" s="1"/>
      <c r="D239" s="1" t="s">
        <v>167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377</v>
      </c>
      <c r="D240" s="1" t="s">
        <v>235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378</v>
      </c>
      <c r="D241" s="1" t="s">
        <v>207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379</v>
      </c>
      <c r="D242" s="1" t="s">
        <v>181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380</v>
      </c>
      <c r="D243" s="1" t="s">
        <v>235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381</v>
      </c>
      <c r="D244" s="1" t="s">
        <v>165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382</v>
      </c>
      <c r="D245" s="1" t="s">
        <v>207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383</v>
      </c>
      <c r="D246" s="1" t="s">
        <v>131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384</v>
      </c>
      <c r="D247" s="1" t="s">
        <v>235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385</v>
      </c>
      <c r="D248" s="1" t="s">
        <v>235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386</v>
      </c>
      <c r="D249" s="1" t="s">
        <v>167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387</v>
      </c>
      <c r="D250" s="1" t="s">
        <v>181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388</v>
      </c>
      <c r="D251" s="1" t="s">
        <v>207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389</v>
      </c>
      <c r="D252" s="1" t="s">
        <v>144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390</v>
      </c>
      <c r="D253" s="1" t="s">
        <v>235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391</v>
      </c>
      <c r="D254" s="1" t="s">
        <v>207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392</v>
      </c>
      <c r="D255" s="1" t="s">
        <v>235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393</v>
      </c>
      <c r="D256" s="1" t="s">
        <v>144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394</v>
      </c>
      <c r="D257" s="1" t="s">
        <v>144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395</v>
      </c>
      <c r="D258" s="1" t="s">
        <v>144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396</v>
      </c>
      <c r="D259" s="1" t="s">
        <v>165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397</v>
      </c>
      <c r="D260" s="1" t="s">
        <v>207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398</v>
      </c>
      <c r="D261" s="1" t="s">
        <v>235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399</v>
      </c>
      <c r="D262" s="1" t="s">
        <v>207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400</v>
      </c>
      <c r="D263" s="1" t="s">
        <v>235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401</v>
      </c>
      <c r="D264" s="1" t="s">
        <v>131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402</v>
      </c>
      <c r="D265" s="1" t="s">
        <v>144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403</v>
      </c>
      <c r="D266" s="1" t="s">
        <v>207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404</v>
      </c>
      <c r="D267" s="1" t="s">
        <v>131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405</v>
      </c>
      <c r="D268" s="1" t="s">
        <v>165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406</v>
      </c>
      <c r="D269" s="1" t="s">
        <v>235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407</v>
      </c>
      <c r="D270" s="1" t="s">
        <v>207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408</v>
      </c>
      <c r="D271" s="1" t="s">
        <v>235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409</v>
      </c>
      <c r="D272" s="1" t="s">
        <v>207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410</v>
      </c>
      <c r="D273" s="1" t="s">
        <v>165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411</v>
      </c>
      <c r="D274" s="1" t="s">
        <v>207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412</v>
      </c>
      <c r="D275" s="1" t="s">
        <v>207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413</v>
      </c>
      <c r="D276" s="1" t="s">
        <v>207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414</v>
      </c>
      <c r="D277" s="1" t="s">
        <v>207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415</v>
      </c>
      <c r="D278" s="1" t="s">
        <v>165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416</v>
      </c>
      <c r="D279" s="1" t="s">
        <v>131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417</v>
      </c>
      <c r="D280" s="1" t="s">
        <v>207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418</v>
      </c>
      <c r="D281" s="1" t="s">
        <v>165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419</v>
      </c>
      <c r="D282" s="1" t="s">
        <v>144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420</v>
      </c>
      <c r="D283" s="1" t="s">
        <v>207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421</v>
      </c>
      <c r="D284" s="1" t="s">
        <v>144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422</v>
      </c>
      <c r="D285" s="1" t="s">
        <v>144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423</v>
      </c>
      <c r="D286" s="1" t="s">
        <v>131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424</v>
      </c>
      <c r="D287" s="1" t="s">
        <v>131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425</v>
      </c>
      <c r="C288" s="1"/>
      <c r="D288" s="1" t="s">
        <v>148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426</v>
      </c>
      <c r="D289" s="1" t="s">
        <v>167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427</v>
      </c>
      <c r="D290" s="1" t="s">
        <v>235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428</v>
      </c>
      <c r="D291" s="1" t="s">
        <v>165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429</v>
      </c>
      <c r="D292" s="1" t="s">
        <v>144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430</v>
      </c>
      <c r="D293" s="1" t="s">
        <v>144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431</v>
      </c>
      <c r="D294" s="1" t="s">
        <v>207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432</v>
      </c>
      <c r="D295" s="1" t="s">
        <v>207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433</v>
      </c>
      <c r="D296" s="1" t="s">
        <v>181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434</v>
      </c>
      <c r="D297" s="1" t="s">
        <v>235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435</v>
      </c>
      <c r="D298" s="1" t="s">
        <v>207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436</v>
      </c>
      <c r="D299" s="1" t="s">
        <v>148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437</v>
      </c>
      <c r="D300" s="1" t="s">
        <v>207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438</v>
      </c>
      <c r="D301" s="1" t="s">
        <v>148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439</v>
      </c>
      <c r="D302" s="1" t="s">
        <v>207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440</v>
      </c>
      <c r="D303" s="1" t="s">
        <v>207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441</v>
      </c>
      <c r="D304" s="1" t="s">
        <v>235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442</v>
      </c>
      <c r="D305" s="1" t="s">
        <v>207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443</v>
      </c>
      <c r="D306" s="1" t="s">
        <v>235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444</v>
      </c>
      <c r="D307" s="1" t="s">
        <v>207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445</v>
      </c>
      <c r="D308" s="1" t="s">
        <v>167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446</v>
      </c>
      <c r="D309" s="1" t="s">
        <v>207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447</v>
      </c>
      <c r="D310" s="1" t="s">
        <v>144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448</v>
      </c>
      <c r="D311" s="1" t="s">
        <v>144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449</v>
      </c>
      <c r="D312" s="1" t="s">
        <v>207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450</v>
      </c>
      <c r="D313" s="1" t="s">
        <v>207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451</v>
      </c>
      <c r="D314" s="1" t="s">
        <v>207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452</v>
      </c>
      <c r="D315" s="1" t="s">
        <v>181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453</v>
      </c>
      <c r="D316" s="1" t="s">
        <v>235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454</v>
      </c>
      <c r="D317" s="1" t="s">
        <v>207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455</v>
      </c>
      <c r="D318" s="1" t="s">
        <v>167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456</v>
      </c>
      <c r="D319" s="1" t="s">
        <v>207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457</v>
      </c>
      <c r="D320" s="1" t="s">
        <v>167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458</v>
      </c>
      <c r="D321" s="1" t="s">
        <v>167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459</v>
      </c>
      <c r="D322" s="1" t="s">
        <v>207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460</v>
      </c>
      <c r="D323" s="1" t="s">
        <v>165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461</v>
      </c>
      <c r="D324" s="1" t="s">
        <v>165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462</v>
      </c>
      <c r="D325" s="1" t="s">
        <v>207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463</v>
      </c>
      <c r="D326" s="1" t="s">
        <v>207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464</v>
      </c>
      <c r="D327" s="1" t="s">
        <v>235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465</v>
      </c>
      <c r="D328" s="1" t="s">
        <v>235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466</v>
      </c>
      <c r="D329" s="1" t="s">
        <v>207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467</v>
      </c>
      <c r="D330" s="1" t="s">
        <v>207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468</v>
      </c>
      <c r="D331" s="1" t="s">
        <v>207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469</v>
      </c>
      <c r="C332" s="1"/>
      <c r="D332" s="1" t="s">
        <v>235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470</v>
      </c>
      <c r="D333" s="1" t="s">
        <v>207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471</v>
      </c>
      <c r="D334" s="1" t="s">
        <v>165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472</v>
      </c>
      <c r="D335" s="1" t="s">
        <v>165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473</v>
      </c>
      <c r="D336" s="1" t="s">
        <v>235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474</v>
      </c>
      <c r="D337" s="1" t="s">
        <v>167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475</v>
      </c>
      <c r="D338" s="1" t="s">
        <v>207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476</v>
      </c>
      <c r="D339" s="1" t="s">
        <v>167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477</v>
      </c>
      <c r="D340" s="1" t="s">
        <v>235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478</v>
      </c>
      <c r="D341" s="1" t="s">
        <v>165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479</v>
      </c>
      <c r="D342" s="1" t="s">
        <v>235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480</v>
      </c>
      <c r="D343" s="1" t="s">
        <v>207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481</v>
      </c>
      <c r="D344" s="1" t="s">
        <v>235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482</v>
      </c>
      <c r="D345" s="1" t="s">
        <v>207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483</v>
      </c>
      <c r="D346" s="1" t="s">
        <v>181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484</v>
      </c>
      <c r="D347" s="1" t="s">
        <v>207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485</v>
      </c>
      <c r="D348" s="1" t="s">
        <v>165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486</v>
      </c>
      <c r="D349" s="1" t="s">
        <v>235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487</v>
      </c>
      <c r="D350" s="1" t="s">
        <v>235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488</v>
      </c>
      <c r="D351" s="1" t="s">
        <v>207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489</v>
      </c>
      <c r="D352" s="1" t="s">
        <v>235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490</v>
      </c>
      <c r="D353" s="1" t="s">
        <v>235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491</v>
      </c>
      <c r="D354" s="1" t="s">
        <v>207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492</v>
      </c>
      <c r="D355" s="1" t="s">
        <v>235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493</v>
      </c>
      <c r="D356" s="1" t="s">
        <v>144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494</v>
      </c>
      <c r="D357" s="1" t="s">
        <v>165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495</v>
      </c>
      <c r="D358" s="1" t="s">
        <v>235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496</v>
      </c>
      <c r="D359" s="1" t="s">
        <v>207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497</v>
      </c>
      <c r="D360" s="1" t="s">
        <v>207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498</v>
      </c>
      <c r="D361" s="1" t="s">
        <v>207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499</v>
      </c>
      <c r="D362" s="1" t="s">
        <v>144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500</v>
      </c>
      <c r="D363" s="1" t="s">
        <v>235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501</v>
      </c>
      <c r="D364" s="1" t="s">
        <v>167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502</v>
      </c>
      <c r="D365" s="1" t="s">
        <v>207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503</v>
      </c>
      <c r="D366" s="1" t="s">
        <v>235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504</v>
      </c>
      <c r="D367" s="1" t="s">
        <v>207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505</v>
      </c>
      <c r="D368" s="1" t="s">
        <v>235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506</v>
      </c>
      <c r="D369" s="1" t="s">
        <v>207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507</v>
      </c>
      <c r="D370" s="1" t="s">
        <v>207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508</v>
      </c>
      <c r="D371" s="1" t="s">
        <v>167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509</v>
      </c>
      <c r="D372" s="1" t="s">
        <v>207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510</v>
      </c>
      <c r="D373" s="1" t="s">
        <v>165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511</v>
      </c>
      <c r="D374" s="1" t="s">
        <v>167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512</v>
      </c>
      <c r="D375" s="1" t="s">
        <v>207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513</v>
      </c>
      <c r="D376" s="1" t="s">
        <v>207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514</v>
      </c>
      <c r="D377" s="1" t="s">
        <v>165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515</v>
      </c>
      <c r="D378" s="1" t="s">
        <v>235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516</v>
      </c>
      <c r="D379" s="1" t="s">
        <v>207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517</v>
      </c>
      <c r="D380" s="1" t="s">
        <v>235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518</v>
      </c>
      <c r="D381" s="1" t="s">
        <v>167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519</v>
      </c>
      <c r="D382" s="1" t="s">
        <v>235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520</v>
      </c>
      <c r="D383" s="1" t="s">
        <v>207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521</v>
      </c>
      <c r="D384" s="1" t="s">
        <v>235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522</v>
      </c>
      <c r="D385" s="1" t="s">
        <v>167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523</v>
      </c>
      <c r="D386" s="1" t="s">
        <v>207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524</v>
      </c>
      <c r="D387" s="1" t="s">
        <v>235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525</v>
      </c>
      <c r="D388" s="1" t="s">
        <v>235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526</v>
      </c>
      <c r="D389" s="1" t="s">
        <v>235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527</v>
      </c>
      <c r="D390" s="1" t="s">
        <v>235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528</v>
      </c>
      <c r="D391" s="1" t="s">
        <v>165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529</v>
      </c>
      <c r="D392" s="1" t="s">
        <v>207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530</v>
      </c>
      <c r="D393" s="1" t="s">
        <v>165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531</v>
      </c>
      <c r="D394" s="1" t="s">
        <v>165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532</v>
      </c>
      <c r="D395" s="1" t="s">
        <v>235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533</v>
      </c>
      <c r="D396" s="1" t="s">
        <v>207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534</v>
      </c>
      <c r="D397" s="1" t="s">
        <v>207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535</v>
      </c>
      <c r="D398" s="1" t="s">
        <v>235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536</v>
      </c>
      <c r="D399" s="1" t="s">
        <v>207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537</v>
      </c>
      <c r="D400" s="1" t="s">
        <v>207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538</v>
      </c>
      <c r="D401" s="1" t="s">
        <v>207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539</v>
      </c>
      <c r="D402" s="1" t="s">
        <v>235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540</v>
      </c>
      <c r="D403" s="1" t="s">
        <v>207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541</v>
      </c>
      <c r="D404" s="1" t="s">
        <v>181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542</v>
      </c>
      <c r="D405" s="1" t="s">
        <v>207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543</v>
      </c>
      <c r="D406" s="1" t="s">
        <v>207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544</v>
      </c>
      <c r="D407" s="1" t="s">
        <v>207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545</v>
      </c>
      <c r="D408" s="1" t="s">
        <v>207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546</v>
      </c>
      <c r="D409" s="1" t="s">
        <v>207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547</v>
      </c>
      <c r="D410" s="1" t="s">
        <v>131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548</v>
      </c>
      <c r="D411" s="1" t="s">
        <v>131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549</v>
      </c>
      <c r="D412" s="1" t="s">
        <v>144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550</v>
      </c>
      <c r="D413" s="1" t="s">
        <v>144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551</v>
      </c>
      <c r="D414" s="1" t="s">
        <v>165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552</v>
      </c>
      <c r="D415" s="1" t="s">
        <v>131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553</v>
      </c>
      <c r="D416" s="1" t="s">
        <v>144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554</v>
      </c>
      <c r="D417" s="1" t="s">
        <v>131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555</v>
      </c>
      <c r="D418" s="1" t="s">
        <v>165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556</v>
      </c>
      <c r="D419" s="1" t="s">
        <v>144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557</v>
      </c>
      <c r="D420" s="1" t="s">
        <v>144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558</v>
      </c>
      <c r="D421" s="1" t="s">
        <v>207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559</v>
      </c>
      <c r="D422" s="1" t="s">
        <v>235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560</v>
      </c>
      <c r="D423" s="1" t="s">
        <v>235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561</v>
      </c>
      <c r="D424" s="1" t="s">
        <v>235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562</v>
      </c>
      <c r="D425" s="1" t="s">
        <v>144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563</v>
      </c>
      <c r="D426" s="1" t="s">
        <v>207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564</v>
      </c>
      <c r="D427" s="1" t="s">
        <v>144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565</v>
      </c>
      <c r="D428" s="1" t="s">
        <v>207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566</v>
      </c>
      <c r="D429" s="1" t="s">
        <v>131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567</v>
      </c>
      <c r="D430" s="1" t="s">
        <v>165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568</v>
      </c>
      <c r="D431" s="1" t="s">
        <v>207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569</v>
      </c>
      <c r="D432" s="1" t="s">
        <v>165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570</v>
      </c>
      <c r="D433" s="1" t="s">
        <v>207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571</v>
      </c>
      <c r="D434" s="1" t="s">
        <v>235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572</v>
      </c>
      <c r="D435" s="1" t="s">
        <v>144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573</v>
      </c>
      <c r="D436" s="1" t="s">
        <v>235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574</v>
      </c>
      <c r="D437" s="1" t="s">
        <v>207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575</v>
      </c>
      <c r="D438" s="1" t="s">
        <v>235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576</v>
      </c>
      <c r="D439" s="1" t="s">
        <v>131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577</v>
      </c>
      <c r="D440" s="1" t="s">
        <v>165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578</v>
      </c>
      <c r="D441" s="1" t="s">
        <v>235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579</v>
      </c>
      <c r="D442" s="1" t="s">
        <v>235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580</v>
      </c>
      <c r="D443" t="s">
        <v>144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581</v>
      </c>
      <c r="D444" t="s">
        <v>144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582</v>
      </c>
      <c r="D445" s="1" t="s">
        <v>235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583</v>
      </c>
      <c r="B1" t="s">
        <v>584</v>
      </c>
      <c r="C1" t="s">
        <v>585</v>
      </c>
      <c r="D1" t="s">
        <v>586</v>
      </c>
      <c r="E1" t="s">
        <v>587</v>
      </c>
      <c r="F1" t="s">
        <v>588</v>
      </c>
      <c r="G1" t="s">
        <v>589</v>
      </c>
      <c r="H1" t="s">
        <v>590</v>
      </c>
      <c r="I1" t="s">
        <v>591</v>
      </c>
      <c r="J1" t="s">
        <v>592</v>
      </c>
      <c r="K1" t="s">
        <v>593</v>
      </c>
    </row>
    <row r="2" spans="1:11" x14ac:dyDescent="0.25">
      <c r="A2">
        <v>1</v>
      </c>
      <c r="B2" t="s">
        <v>594</v>
      </c>
    </row>
    <row r="3" spans="1:11" x14ac:dyDescent="0.25">
      <c r="A3">
        <v>2</v>
      </c>
      <c r="B3" t="s">
        <v>595</v>
      </c>
    </row>
    <row r="4" spans="1:11" x14ac:dyDescent="0.25">
      <c r="A4">
        <v>3</v>
      </c>
      <c r="B4" t="s">
        <v>596</v>
      </c>
    </row>
    <row r="5" spans="1:11" x14ac:dyDescent="0.25">
      <c r="A5">
        <v>4</v>
      </c>
      <c r="B5" t="s">
        <v>597</v>
      </c>
    </row>
    <row r="6" spans="1:11" x14ac:dyDescent="0.25">
      <c r="A6">
        <v>5</v>
      </c>
      <c r="B6" t="s">
        <v>598</v>
      </c>
    </row>
    <row r="7" spans="1:11" x14ac:dyDescent="0.25">
      <c r="A7">
        <v>6</v>
      </c>
      <c r="B7" t="s">
        <v>599</v>
      </c>
    </row>
    <row r="8" spans="1:11" x14ac:dyDescent="0.25">
      <c r="A8">
        <v>7</v>
      </c>
      <c r="B8" t="s">
        <v>600</v>
      </c>
    </row>
    <row r="9" spans="1:11" x14ac:dyDescent="0.25">
      <c r="A9">
        <v>8</v>
      </c>
      <c r="B9" t="s">
        <v>601</v>
      </c>
    </row>
    <row r="10" spans="1:11" x14ac:dyDescent="0.25">
      <c r="A10">
        <v>9</v>
      </c>
      <c r="B10" t="s">
        <v>602</v>
      </c>
    </row>
    <row r="11" spans="1:11" x14ac:dyDescent="0.25">
      <c r="A11">
        <v>10</v>
      </c>
      <c r="B11" t="s">
        <v>603</v>
      </c>
    </row>
    <row r="12" spans="1:11" x14ac:dyDescent="0.25">
      <c r="A12">
        <v>11</v>
      </c>
      <c r="B12" t="s">
        <v>604</v>
      </c>
    </row>
    <row r="13" spans="1:11" x14ac:dyDescent="0.25">
      <c r="A13">
        <v>12</v>
      </c>
      <c r="B13" t="s">
        <v>605</v>
      </c>
    </row>
    <row r="14" spans="1:11" x14ac:dyDescent="0.25">
      <c r="A14">
        <v>13</v>
      </c>
      <c r="B14" t="s">
        <v>606</v>
      </c>
    </row>
    <row r="15" spans="1:11" x14ac:dyDescent="0.25">
      <c r="A15">
        <v>14</v>
      </c>
      <c r="B15" t="s">
        <v>607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583</v>
      </c>
      <c r="B1" t="s">
        <v>117</v>
      </c>
      <c r="C1" t="s">
        <v>608</v>
      </c>
      <c r="D1" t="s">
        <v>609</v>
      </c>
      <c r="E1" t="s">
        <v>610</v>
      </c>
    </row>
    <row r="2" spans="1:6" x14ac:dyDescent="0.25">
      <c r="A2">
        <v>7</v>
      </c>
      <c r="B2">
        <v>7</v>
      </c>
      <c r="C2" t="s">
        <v>144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131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165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235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611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207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131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144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207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235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611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165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131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144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165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611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207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235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131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207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165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611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144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235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131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165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235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611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207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144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131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144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611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207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165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235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131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144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165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611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235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207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131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611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165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144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235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207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144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131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165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207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235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611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131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611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144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165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207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235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131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165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144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235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207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611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131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144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165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207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611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235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131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235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165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144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611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207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131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144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165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611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207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235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G18" sqref="G18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583</v>
      </c>
      <c r="B1" s="2" t="s">
        <v>612</v>
      </c>
      <c r="C1" s="2" t="s">
        <v>613</v>
      </c>
      <c r="D1" s="2" t="s">
        <v>614</v>
      </c>
      <c r="E1" s="2" t="s">
        <v>615</v>
      </c>
      <c r="F1" s="2" t="s">
        <v>616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617</v>
      </c>
      <c r="B1" t="s">
        <v>618</v>
      </c>
      <c r="C1" t="s">
        <v>619</v>
      </c>
      <c r="D1" t="s">
        <v>620</v>
      </c>
      <c r="E1" t="s">
        <v>621</v>
      </c>
      <c r="F1" t="s">
        <v>622</v>
      </c>
      <c r="G1" t="s">
        <v>623</v>
      </c>
      <c r="H1" t="s">
        <v>128</v>
      </c>
      <c r="I1" t="s">
        <v>616</v>
      </c>
    </row>
    <row r="2" spans="1:10" x14ac:dyDescent="0.25">
      <c r="B2" t="s">
        <v>624</v>
      </c>
      <c r="G2" t="s">
        <v>625</v>
      </c>
    </row>
    <row r="3" spans="1:10" x14ac:dyDescent="0.25">
      <c r="B3" t="s">
        <v>626</v>
      </c>
    </row>
    <row r="4" spans="1:10" x14ac:dyDescent="0.25">
      <c r="B4" t="s">
        <v>627</v>
      </c>
    </row>
    <row r="5" spans="1:10" x14ac:dyDescent="0.25">
      <c r="B5" t="s">
        <v>628</v>
      </c>
    </row>
    <row r="6" spans="1:10" x14ac:dyDescent="0.25">
      <c r="B6" t="s">
        <v>629</v>
      </c>
    </row>
    <row r="7" spans="1:10" x14ac:dyDescent="0.25">
      <c r="B7" t="s">
        <v>630</v>
      </c>
    </row>
    <row r="10" spans="1:10" x14ac:dyDescent="0.25">
      <c r="A10" t="s">
        <v>631</v>
      </c>
      <c r="B10" t="s">
        <v>632</v>
      </c>
      <c r="C10" t="s">
        <v>633</v>
      </c>
      <c r="D10" t="s">
        <v>634</v>
      </c>
      <c r="E10" t="s">
        <v>621</v>
      </c>
      <c r="F10" t="s">
        <v>622</v>
      </c>
      <c r="G10" t="s">
        <v>635</v>
      </c>
      <c r="H10" t="s">
        <v>636</v>
      </c>
      <c r="I10" t="s">
        <v>637</v>
      </c>
      <c r="J10" t="s">
        <v>638</v>
      </c>
    </row>
    <row r="11" spans="1:10" x14ac:dyDescent="0.25">
      <c r="C11" t="s">
        <v>639</v>
      </c>
      <c r="D11">
        <v>247</v>
      </c>
      <c r="G11" t="s">
        <v>640</v>
      </c>
      <c r="H11" t="s">
        <v>640</v>
      </c>
    </row>
    <row r="12" spans="1:10" x14ac:dyDescent="0.25">
      <c r="C12" t="s">
        <v>641</v>
      </c>
      <c r="D12" t="s">
        <v>642</v>
      </c>
      <c r="G12" t="s">
        <v>643</v>
      </c>
      <c r="H12" t="s">
        <v>643</v>
      </c>
    </row>
    <row r="13" spans="1:10" x14ac:dyDescent="0.25">
      <c r="G13" t="s">
        <v>644</v>
      </c>
      <c r="H13" t="s">
        <v>644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645</v>
      </c>
      <c r="B1" t="s">
        <v>646</v>
      </c>
      <c r="C1" t="s">
        <v>647</v>
      </c>
      <c r="D1" t="s">
        <v>648</v>
      </c>
      <c r="E1" t="s">
        <v>649</v>
      </c>
      <c r="F1" t="s">
        <v>650</v>
      </c>
      <c r="G1" t="s">
        <v>651</v>
      </c>
    </row>
    <row r="2" spans="1:7" ht="14.25" customHeight="1" x14ac:dyDescent="0.25">
      <c r="A2" t="s">
        <v>652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653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654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655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656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657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658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659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660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661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662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663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664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665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2"/>
  <sheetViews>
    <sheetView workbookViewId="0"/>
  </sheetViews>
  <sheetFormatPr defaultRowHeight="15" x14ac:dyDescent="0.25"/>
  <sheetData>
    <row r="1" spans="1:10" x14ac:dyDescent="0.25">
      <c r="A1" t="s">
        <v>617</v>
      </c>
      <c r="B1" t="s">
        <v>618</v>
      </c>
      <c r="C1" t="s">
        <v>666</v>
      </c>
      <c r="D1" t="s">
        <v>620</v>
      </c>
      <c r="E1" t="s">
        <v>667</v>
      </c>
      <c r="F1" t="s">
        <v>668</v>
      </c>
      <c r="G1" t="s">
        <v>669</v>
      </c>
      <c r="H1" t="s">
        <v>128</v>
      </c>
      <c r="I1" t="s">
        <v>616</v>
      </c>
      <c r="J1" t="s">
        <v>631</v>
      </c>
    </row>
    <row r="2" spans="1:10" x14ac:dyDescent="0.25">
      <c r="A2" t="s">
        <v>670</v>
      </c>
      <c r="B2" t="s">
        <v>626</v>
      </c>
      <c r="C2" s="4">
        <v>46166</v>
      </c>
      <c r="D2" t="s">
        <v>671</v>
      </c>
      <c r="E2">
        <v>5</v>
      </c>
      <c r="F2">
        <v>7</v>
      </c>
      <c r="G2" t="s">
        <v>672</v>
      </c>
      <c r="H2" t="s">
        <v>673</v>
      </c>
    </row>
    <row r="3" spans="1:10" x14ac:dyDescent="0.25">
      <c r="A3" t="s">
        <v>674</v>
      </c>
      <c r="B3" t="s">
        <v>626</v>
      </c>
      <c r="C3" s="4">
        <v>46166</v>
      </c>
      <c r="D3" t="s">
        <v>671</v>
      </c>
      <c r="E3">
        <v>7</v>
      </c>
      <c r="F3">
        <v>5</v>
      </c>
      <c r="G3" t="s">
        <v>672</v>
      </c>
      <c r="H3" t="s">
        <v>673</v>
      </c>
    </row>
    <row r="4" spans="1:10" x14ac:dyDescent="0.25">
      <c r="A4" t="s">
        <v>675</v>
      </c>
      <c r="B4" t="s">
        <v>624</v>
      </c>
      <c r="C4" s="4">
        <v>46166</v>
      </c>
      <c r="D4" t="s">
        <v>671</v>
      </c>
      <c r="E4">
        <v>5</v>
      </c>
      <c r="F4">
        <v>10</v>
      </c>
      <c r="G4" t="s">
        <v>672</v>
      </c>
      <c r="H4" t="s">
        <v>673</v>
      </c>
    </row>
    <row r="5" spans="1:10" x14ac:dyDescent="0.25">
      <c r="A5" t="s">
        <v>676</v>
      </c>
      <c r="B5" t="s">
        <v>624</v>
      </c>
      <c r="C5" s="4">
        <v>46166</v>
      </c>
      <c r="D5" t="s">
        <v>671</v>
      </c>
      <c r="E5">
        <v>10</v>
      </c>
      <c r="F5">
        <v>5</v>
      </c>
      <c r="G5" t="s">
        <v>672</v>
      </c>
      <c r="H5" t="s">
        <v>673</v>
      </c>
    </row>
    <row r="6" spans="1:10" x14ac:dyDescent="0.25">
      <c r="A6" t="s">
        <v>677</v>
      </c>
      <c r="B6" t="s">
        <v>624</v>
      </c>
      <c r="C6" s="4">
        <v>46172</v>
      </c>
      <c r="D6" t="s">
        <v>671</v>
      </c>
      <c r="E6">
        <v>5</v>
      </c>
      <c r="F6">
        <v>14</v>
      </c>
      <c r="G6" t="s">
        <v>672</v>
      </c>
      <c r="H6" t="s">
        <v>673</v>
      </c>
    </row>
    <row r="7" spans="1:10" x14ac:dyDescent="0.25">
      <c r="A7" t="s">
        <v>678</v>
      </c>
      <c r="B7" t="s">
        <v>624</v>
      </c>
      <c r="C7" s="4">
        <v>46172</v>
      </c>
      <c r="D7" t="s">
        <v>671</v>
      </c>
      <c r="E7">
        <v>14</v>
      </c>
      <c r="F7">
        <v>5</v>
      </c>
      <c r="G7" t="s">
        <v>672</v>
      </c>
      <c r="H7" t="s">
        <v>673</v>
      </c>
    </row>
    <row r="8" spans="1:10" x14ac:dyDescent="0.25">
      <c r="A8" t="s">
        <v>679</v>
      </c>
      <c r="B8" t="s">
        <v>624</v>
      </c>
      <c r="C8" s="4">
        <v>46173</v>
      </c>
      <c r="D8" t="s">
        <v>671</v>
      </c>
      <c r="E8">
        <v>12</v>
      </c>
      <c r="F8">
        <v>7</v>
      </c>
      <c r="G8" t="s">
        <v>680</v>
      </c>
      <c r="H8" t="s">
        <v>673</v>
      </c>
    </row>
    <row r="9" spans="1:10" x14ac:dyDescent="0.25">
      <c r="A9" t="s">
        <v>681</v>
      </c>
      <c r="B9" t="s">
        <v>624</v>
      </c>
      <c r="C9" s="4">
        <v>46173</v>
      </c>
      <c r="D9" t="s">
        <v>671</v>
      </c>
      <c r="E9">
        <v>7</v>
      </c>
      <c r="F9">
        <v>12</v>
      </c>
      <c r="G9" t="s">
        <v>680</v>
      </c>
      <c r="H9" t="s">
        <v>673</v>
      </c>
    </row>
    <row r="10" spans="1:10" x14ac:dyDescent="0.25">
      <c r="A10" t="s">
        <v>682</v>
      </c>
      <c r="B10" t="s">
        <v>624</v>
      </c>
      <c r="C10" s="4">
        <v>46173</v>
      </c>
      <c r="D10" t="s">
        <v>671</v>
      </c>
      <c r="E10">
        <v>5</v>
      </c>
      <c r="F10">
        <v>14</v>
      </c>
      <c r="G10" t="s">
        <v>672</v>
      </c>
      <c r="H10" t="s">
        <v>673</v>
      </c>
    </row>
    <row r="11" spans="1:10" x14ac:dyDescent="0.25">
      <c r="A11" t="s">
        <v>683</v>
      </c>
      <c r="B11" t="s">
        <v>624</v>
      </c>
      <c r="C11" s="4">
        <v>46173</v>
      </c>
      <c r="D11" t="s">
        <v>671</v>
      </c>
      <c r="E11">
        <v>14</v>
      </c>
      <c r="F11">
        <v>5</v>
      </c>
      <c r="G11" t="s">
        <v>672</v>
      </c>
      <c r="H11" t="s">
        <v>673</v>
      </c>
    </row>
    <row r="12" spans="1:10" x14ac:dyDescent="0.25">
      <c r="A12" t="s">
        <v>684</v>
      </c>
      <c r="B12" t="s">
        <v>624</v>
      </c>
      <c r="C12" s="4">
        <v>46174</v>
      </c>
      <c r="D12" t="s">
        <v>671</v>
      </c>
      <c r="E12">
        <v>14</v>
      </c>
      <c r="F12">
        <v>13</v>
      </c>
      <c r="G12" t="s">
        <v>685</v>
      </c>
      <c r="H12" t="s">
        <v>673</v>
      </c>
    </row>
    <row r="13" spans="1:10" x14ac:dyDescent="0.25">
      <c r="A13" t="s">
        <v>686</v>
      </c>
      <c r="B13" t="s">
        <v>624</v>
      </c>
      <c r="C13" s="4">
        <v>46174</v>
      </c>
      <c r="D13" t="s">
        <v>671</v>
      </c>
      <c r="E13">
        <v>13</v>
      </c>
      <c r="F13">
        <v>14</v>
      </c>
      <c r="G13" t="s">
        <v>685</v>
      </c>
      <c r="H13" t="s">
        <v>673</v>
      </c>
    </row>
    <row r="14" spans="1:10" x14ac:dyDescent="0.25">
      <c r="A14" t="s">
        <v>687</v>
      </c>
      <c r="B14" t="s">
        <v>624</v>
      </c>
      <c r="C14" s="4">
        <v>46174</v>
      </c>
      <c r="D14" t="s">
        <v>671</v>
      </c>
      <c r="E14">
        <v>14</v>
      </c>
      <c r="F14">
        <v>11</v>
      </c>
      <c r="G14" t="s">
        <v>688</v>
      </c>
      <c r="H14" t="s">
        <v>673</v>
      </c>
    </row>
    <row r="15" spans="1:10" x14ac:dyDescent="0.25">
      <c r="A15" t="s">
        <v>689</v>
      </c>
      <c r="B15" t="s">
        <v>624</v>
      </c>
      <c r="C15" s="4">
        <v>46174</v>
      </c>
      <c r="D15" t="s">
        <v>671</v>
      </c>
      <c r="E15">
        <v>11</v>
      </c>
      <c r="F15">
        <v>14</v>
      </c>
      <c r="G15" t="s">
        <v>688</v>
      </c>
      <c r="H15" t="s">
        <v>673</v>
      </c>
    </row>
    <row r="16" spans="1:10" x14ac:dyDescent="0.25">
      <c r="A16" t="s">
        <v>690</v>
      </c>
      <c r="B16" t="s">
        <v>624</v>
      </c>
      <c r="C16" s="4">
        <v>46175</v>
      </c>
      <c r="D16" t="s">
        <v>671</v>
      </c>
      <c r="E16">
        <v>14</v>
      </c>
      <c r="F16">
        <v>6</v>
      </c>
      <c r="G16" t="s">
        <v>691</v>
      </c>
      <c r="H16" t="s">
        <v>673</v>
      </c>
    </row>
    <row r="17" spans="1:8" x14ac:dyDescent="0.25">
      <c r="A17" t="s">
        <v>692</v>
      </c>
      <c r="B17" t="s">
        <v>624</v>
      </c>
      <c r="C17" s="4">
        <v>46175</v>
      </c>
      <c r="D17" t="s">
        <v>671</v>
      </c>
      <c r="E17">
        <v>6</v>
      </c>
      <c r="F17">
        <v>14</v>
      </c>
      <c r="G17" t="s">
        <v>691</v>
      </c>
      <c r="H17" t="s">
        <v>673</v>
      </c>
    </row>
    <row r="18" spans="1:8" x14ac:dyDescent="0.25">
      <c r="A18" t="s">
        <v>693</v>
      </c>
      <c r="B18" t="s">
        <v>624</v>
      </c>
      <c r="C18" s="4">
        <v>46175</v>
      </c>
      <c r="D18" t="s">
        <v>671</v>
      </c>
      <c r="E18">
        <v>13</v>
      </c>
      <c r="F18">
        <v>5</v>
      </c>
      <c r="G18" t="s">
        <v>672</v>
      </c>
      <c r="H18" t="s">
        <v>673</v>
      </c>
    </row>
    <row r="19" spans="1:8" x14ac:dyDescent="0.25">
      <c r="A19" t="s">
        <v>694</v>
      </c>
      <c r="B19" t="s">
        <v>624</v>
      </c>
      <c r="C19" s="4">
        <v>46175</v>
      </c>
      <c r="D19" t="s">
        <v>671</v>
      </c>
      <c r="E19">
        <v>5</v>
      </c>
      <c r="F19">
        <v>13</v>
      </c>
      <c r="G19" t="s">
        <v>672</v>
      </c>
      <c r="H19" t="s">
        <v>673</v>
      </c>
    </row>
    <row r="20" spans="1:8" x14ac:dyDescent="0.25">
      <c r="A20" t="s">
        <v>695</v>
      </c>
      <c r="B20" t="s">
        <v>624</v>
      </c>
      <c r="C20" s="4">
        <v>46178</v>
      </c>
      <c r="D20" t="s">
        <v>671</v>
      </c>
      <c r="E20">
        <v>14</v>
      </c>
      <c r="F20">
        <v>5</v>
      </c>
      <c r="G20" t="s">
        <v>672</v>
      </c>
      <c r="H20" t="s">
        <v>673</v>
      </c>
    </row>
    <row r="21" spans="1:8" x14ac:dyDescent="0.25">
      <c r="A21" t="s">
        <v>696</v>
      </c>
      <c r="B21" t="s">
        <v>624</v>
      </c>
      <c r="C21" s="4">
        <v>46178</v>
      </c>
      <c r="D21" t="s">
        <v>671</v>
      </c>
      <c r="E21">
        <v>5</v>
      </c>
      <c r="F21">
        <v>14</v>
      </c>
      <c r="G21" t="s">
        <v>672</v>
      </c>
      <c r="H21" t="s">
        <v>673</v>
      </c>
    </row>
    <row r="22" spans="1:8" x14ac:dyDescent="0.25">
      <c r="A22" t="s">
        <v>697</v>
      </c>
      <c r="B22" t="s">
        <v>624</v>
      </c>
      <c r="C22" s="4">
        <v>46179</v>
      </c>
      <c r="D22" t="s">
        <v>671</v>
      </c>
      <c r="E22">
        <v>2</v>
      </c>
      <c r="F22">
        <v>5</v>
      </c>
      <c r="G22" t="s">
        <v>672</v>
      </c>
      <c r="H22" t="s">
        <v>673</v>
      </c>
    </row>
    <row r="23" spans="1:8" x14ac:dyDescent="0.25">
      <c r="A23" t="s">
        <v>698</v>
      </c>
      <c r="B23" t="s">
        <v>624</v>
      </c>
      <c r="C23" s="4">
        <v>46179</v>
      </c>
      <c r="D23" t="s">
        <v>671</v>
      </c>
      <c r="E23">
        <v>5</v>
      </c>
      <c r="F23">
        <v>2</v>
      </c>
      <c r="G23" t="s">
        <v>672</v>
      </c>
      <c r="H23" t="s">
        <v>673</v>
      </c>
    </row>
    <row r="24" spans="1:8" x14ac:dyDescent="0.25">
      <c r="A24" t="s">
        <v>699</v>
      </c>
      <c r="B24" t="s">
        <v>628</v>
      </c>
      <c r="C24" s="4">
        <v>46175</v>
      </c>
      <c r="D24" t="s">
        <v>671</v>
      </c>
      <c r="E24">
        <v>5</v>
      </c>
      <c r="F24">
        <v>5</v>
      </c>
      <c r="G24" t="s">
        <v>672</v>
      </c>
      <c r="H24" t="s">
        <v>673</v>
      </c>
    </row>
    <row r="25" spans="1:8" x14ac:dyDescent="0.25">
      <c r="A25" t="s">
        <v>700</v>
      </c>
      <c r="B25" t="s">
        <v>628</v>
      </c>
      <c r="C25" s="4">
        <v>46178</v>
      </c>
      <c r="D25" t="s">
        <v>671</v>
      </c>
      <c r="E25">
        <v>13</v>
      </c>
      <c r="F25">
        <v>13</v>
      </c>
      <c r="G25" t="s">
        <v>701</v>
      </c>
      <c r="H25" t="s">
        <v>673</v>
      </c>
    </row>
    <row r="26" spans="1:8" x14ac:dyDescent="0.25">
      <c r="A26" t="s">
        <v>702</v>
      </c>
      <c r="B26" t="s">
        <v>628</v>
      </c>
      <c r="C26" s="4">
        <v>46178</v>
      </c>
      <c r="D26" t="s">
        <v>671</v>
      </c>
      <c r="E26">
        <v>14</v>
      </c>
      <c r="F26">
        <v>14</v>
      </c>
      <c r="G26" t="s">
        <v>685</v>
      </c>
      <c r="H26" t="s">
        <v>673</v>
      </c>
    </row>
    <row r="27" spans="1:8" x14ac:dyDescent="0.25">
      <c r="A27" t="s">
        <v>703</v>
      </c>
      <c r="B27" t="s">
        <v>628</v>
      </c>
      <c r="C27" s="4">
        <v>46178</v>
      </c>
      <c r="D27" t="s">
        <v>671</v>
      </c>
      <c r="E27">
        <v>5</v>
      </c>
      <c r="F27">
        <v>5</v>
      </c>
      <c r="G27" t="s">
        <v>672</v>
      </c>
      <c r="H27" t="s">
        <v>673</v>
      </c>
    </row>
    <row r="28" spans="1:8" x14ac:dyDescent="0.25">
      <c r="A28" t="s">
        <v>704</v>
      </c>
      <c r="B28" t="s">
        <v>627</v>
      </c>
      <c r="C28" s="4">
        <v>46188</v>
      </c>
      <c r="D28" t="s">
        <v>671</v>
      </c>
      <c r="E28">
        <v>14</v>
      </c>
      <c r="F28">
        <v>14</v>
      </c>
      <c r="G28" t="s">
        <v>685</v>
      </c>
      <c r="H28" t="s">
        <v>673</v>
      </c>
    </row>
    <row r="29" spans="1:8" x14ac:dyDescent="0.25">
      <c r="A29" t="s">
        <v>705</v>
      </c>
      <c r="B29" t="s">
        <v>628</v>
      </c>
      <c r="C29" s="4">
        <v>46195</v>
      </c>
      <c r="D29" t="s">
        <v>671</v>
      </c>
      <c r="E29">
        <v>2</v>
      </c>
      <c r="F29">
        <v>2</v>
      </c>
      <c r="G29" t="s">
        <v>706</v>
      </c>
      <c r="H29" t="s">
        <v>673</v>
      </c>
    </row>
    <row r="30" spans="1:8" x14ac:dyDescent="0.25">
      <c r="A30" t="s">
        <v>707</v>
      </c>
      <c r="B30" t="s">
        <v>629</v>
      </c>
      <c r="C30" s="4">
        <v>46181</v>
      </c>
      <c r="D30" t="s">
        <v>671</v>
      </c>
      <c r="E30">
        <v>5</v>
      </c>
      <c r="F30" t="s">
        <v>644</v>
      </c>
      <c r="G30" t="s">
        <v>672</v>
      </c>
      <c r="H30" t="s">
        <v>673</v>
      </c>
    </row>
    <row r="31" spans="1:8" x14ac:dyDescent="0.25">
      <c r="A31" t="s">
        <v>708</v>
      </c>
      <c r="B31" t="s">
        <v>629</v>
      </c>
      <c r="C31" s="4">
        <v>46199</v>
      </c>
      <c r="D31" t="s">
        <v>671</v>
      </c>
      <c r="E31">
        <v>13</v>
      </c>
      <c r="F31" t="s">
        <v>644</v>
      </c>
      <c r="G31" t="s">
        <v>701</v>
      </c>
      <c r="H31" t="s">
        <v>673</v>
      </c>
    </row>
    <row r="32" spans="1:8" x14ac:dyDescent="0.25">
      <c r="A32">
        <v>1</v>
      </c>
      <c r="B32" t="s">
        <v>709</v>
      </c>
      <c r="C32" t="s">
        <v>710</v>
      </c>
      <c r="D32" t="s">
        <v>711</v>
      </c>
      <c r="E32">
        <v>6</v>
      </c>
      <c r="F32">
        <v>1</v>
      </c>
      <c r="G32" t="s">
        <v>712</v>
      </c>
      <c r="H32" t="s">
        <v>713</v>
      </c>
    </row>
    <row r="33" spans="1:10" x14ac:dyDescent="0.25">
      <c r="A33">
        <v>2</v>
      </c>
      <c r="B33" t="s">
        <v>709</v>
      </c>
      <c r="C33" t="s">
        <v>710</v>
      </c>
      <c r="D33" t="s">
        <v>711</v>
      </c>
      <c r="E33">
        <v>6</v>
      </c>
      <c r="F33">
        <v>1</v>
      </c>
      <c r="G33" t="s">
        <v>712</v>
      </c>
      <c r="H33" t="s">
        <v>713</v>
      </c>
    </row>
    <row r="34" spans="1:10" x14ac:dyDescent="0.25">
      <c r="A34">
        <v>3</v>
      </c>
      <c r="B34" t="s">
        <v>628</v>
      </c>
      <c r="C34" t="s">
        <v>710</v>
      </c>
      <c r="D34" t="s">
        <v>711</v>
      </c>
      <c r="E34">
        <v>7</v>
      </c>
      <c r="F34">
        <v>7</v>
      </c>
      <c r="G34" t="s">
        <v>712</v>
      </c>
      <c r="H34" t="s">
        <v>713</v>
      </c>
    </row>
    <row r="35" spans="1:10" x14ac:dyDescent="0.25">
      <c r="A35">
        <v>4</v>
      </c>
      <c r="B35" t="s">
        <v>709</v>
      </c>
      <c r="C35" t="s">
        <v>714</v>
      </c>
      <c r="D35" t="s">
        <v>711</v>
      </c>
      <c r="E35">
        <v>7</v>
      </c>
      <c r="F35">
        <v>5</v>
      </c>
      <c r="G35" t="s">
        <v>712</v>
      </c>
      <c r="H35" t="s">
        <v>713</v>
      </c>
    </row>
    <row r="36" spans="1:10" x14ac:dyDescent="0.25">
      <c r="A36">
        <v>5</v>
      </c>
      <c r="B36" t="s">
        <v>628</v>
      </c>
      <c r="C36" t="s">
        <v>710</v>
      </c>
      <c r="D36" t="s">
        <v>711</v>
      </c>
      <c r="E36">
        <v>7</v>
      </c>
      <c r="F36">
        <v>7</v>
      </c>
      <c r="G36" t="s">
        <v>712</v>
      </c>
      <c r="H36" t="s">
        <v>713</v>
      </c>
    </row>
    <row r="37" spans="1:10" x14ac:dyDescent="0.25">
      <c r="A37">
        <v>6</v>
      </c>
      <c r="B37" t="s">
        <v>627</v>
      </c>
      <c r="C37" t="s">
        <v>710</v>
      </c>
      <c r="D37" t="s">
        <v>711</v>
      </c>
      <c r="E37">
        <v>2</v>
      </c>
      <c r="F37">
        <v>2</v>
      </c>
      <c r="G37" t="s">
        <v>712</v>
      </c>
      <c r="H37" t="s">
        <v>713</v>
      </c>
    </row>
    <row r="38" spans="1:10" x14ac:dyDescent="0.25">
      <c r="A38">
        <v>7</v>
      </c>
      <c r="B38" t="s">
        <v>715</v>
      </c>
      <c r="C38" t="s">
        <v>714</v>
      </c>
      <c r="D38" t="s">
        <v>711</v>
      </c>
      <c r="E38">
        <v>7</v>
      </c>
      <c r="F38">
        <v>7</v>
      </c>
      <c r="G38" t="s">
        <v>712</v>
      </c>
      <c r="H38" t="s">
        <v>713</v>
      </c>
    </row>
    <row r="39" spans="1:10" x14ac:dyDescent="0.25">
      <c r="A39">
        <v>8</v>
      </c>
      <c r="B39" t="s">
        <v>715</v>
      </c>
      <c r="C39" t="s">
        <v>714</v>
      </c>
      <c r="D39" t="s">
        <v>711</v>
      </c>
      <c r="E39">
        <v>7</v>
      </c>
      <c r="F39">
        <v>7</v>
      </c>
      <c r="G39" t="s">
        <v>712</v>
      </c>
      <c r="H39" t="s">
        <v>713</v>
      </c>
    </row>
    <row r="40" spans="1:10" x14ac:dyDescent="0.25">
      <c r="A40">
        <v>9</v>
      </c>
      <c r="B40" t="s">
        <v>709</v>
      </c>
      <c r="C40" t="s">
        <v>716</v>
      </c>
      <c r="D40" t="s">
        <v>711</v>
      </c>
      <c r="E40">
        <v>2</v>
      </c>
      <c r="F40">
        <v>13</v>
      </c>
      <c r="G40" t="s">
        <v>712</v>
      </c>
      <c r="H40" t="s">
        <v>713</v>
      </c>
    </row>
    <row r="41" spans="1:10" x14ac:dyDescent="0.25">
      <c r="A41">
        <v>10</v>
      </c>
      <c r="B41" t="s">
        <v>717</v>
      </c>
      <c r="C41" t="s">
        <v>718</v>
      </c>
      <c r="D41" t="s">
        <v>711</v>
      </c>
      <c r="E41">
        <v>6</v>
      </c>
      <c r="G41" t="s">
        <v>712</v>
      </c>
      <c r="H41" t="s">
        <v>713</v>
      </c>
      <c r="J41">
        <v>1</v>
      </c>
    </row>
    <row r="42" spans="1:10" x14ac:dyDescent="0.25">
      <c r="B42" t="s">
        <v>717</v>
      </c>
      <c r="C42" t="s">
        <v>718</v>
      </c>
      <c r="D42" t="s">
        <v>711</v>
      </c>
      <c r="E42">
        <v>7</v>
      </c>
      <c r="G42" t="s">
        <v>712</v>
      </c>
      <c r="H42" t="s">
        <v>713</v>
      </c>
      <c r="J42">
        <v>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72"/>
  <sheetViews>
    <sheetView tabSelected="1" topLeftCell="A58" workbookViewId="0">
      <selection activeCell="D71" sqref="D71"/>
    </sheetView>
  </sheetViews>
  <sheetFormatPr defaultRowHeight="15" x14ac:dyDescent="0.25"/>
  <sheetData>
    <row r="1" spans="1:14" x14ac:dyDescent="0.25">
      <c r="A1" t="s">
        <v>631</v>
      </c>
      <c r="B1" t="s">
        <v>632</v>
      </c>
      <c r="C1" t="s">
        <v>633</v>
      </c>
      <c r="D1" t="s">
        <v>634</v>
      </c>
      <c r="E1" t="s">
        <v>621</v>
      </c>
      <c r="F1" t="s">
        <v>622</v>
      </c>
      <c r="G1" t="s">
        <v>635</v>
      </c>
      <c r="H1" t="s">
        <v>636</v>
      </c>
      <c r="I1" t="s">
        <v>637</v>
      </c>
      <c r="J1" t="s">
        <v>638</v>
      </c>
      <c r="L1" t="s">
        <v>719</v>
      </c>
      <c r="M1" t="s">
        <v>720</v>
      </c>
      <c r="N1" t="s">
        <v>721</v>
      </c>
    </row>
    <row r="2" spans="1:14" x14ac:dyDescent="0.25">
      <c r="A2" t="s">
        <v>670</v>
      </c>
      <c r="B2" t="s">
        <v>5</v>
      </c>
      <c r="C2" t="s">
        <v>722</v>
      </c>
      <c r="D2" t="s">
        <v>5</v>
      </c>
      <c r="E2">
        <v>5</v>
      </c>
      <c r="F2">
        <v>7</v>
      </c>
      <c r="G2" t="s">
        <v>644</v>
      </c>
      <c r="H2" t="s">
        <v>644</v>
      </c>
      <c r="I2" t="s">
        <v>671</v>
      </c>
    </row>
    <row r="3" spans="1:14" x14ac:dyDescent="0.25">
      <c r="A3" t="s">
        <v>670</v>
      </c>
      <c r="B3" t="s">
        <v>103</v>
      </c>
      <c r="C3" t="s">
        <v>722</v>
      </c>
      <c r="D3" t="s">
        <v>103</v>
      </c>
      <c r="E3">
        <v>7</v>
      </c>
      <c r="F3">
        <v>5</v>
      </c>
      <c r="G3" t="s">
        <v>644</v>
      </c>
      <c r="H3" t="s">
        <v>644</v>
      </c>
      <c r="I3" t="s">
        <v>671</v>
      </c>
    </row>
    <row r="4" spans="1:14" x14ac:dyDescent="0.25">
      <c r="A4" t="s">
        <v>674</v>
      </c>
      <c r="B4" t="s">
        <v>25</v>
      </c>
      <c r="C4" t="s">
        <v>722</v>
      </c>
      <c r="D4" t="s">
        <v>25</v>
      </c>
      <c r="E4">
        <v>7</v>
      </c>
      <c r="F4">
        <v>5</v>
      </c>
      <c r="G4" t="s">
        <v>644</v>
      </c>
      <c r="H4" t="s">
        <v>644</v>
      </c>
      <c r="I4" t="s">
        <v>671</v>
      </c>
    </row>
    <row r="5" spans="1:14" x14ac:dyDescent="0.25">
      <c r="A5" t="s">
        <v>676</v>
      </c>
      <c r="B5" t="s">
        <v>49</v>
      </c>
      <c r="C5" t="s">
        <v>722</v>
      </c>
      <c r="D5" t="s">
        <v>49</v>
      </c>
      <c r="E5">
        <v>10</v>
      </c>
      <c r="F5">
        <v>5</v>
      </c>
      <c r="G5" t="s">
        <v>644</v>
      </c>
      <c r="H5" t="s">
        <v>644</v>
      </c>
      <c r="I5" t="s">
        <v>671</v>
      </c>
    </row>
    <row r="6" spans="1:14" x14ac:dyDescent="0.25">
      <c r="A6" t="s">
        <v>675</v>
      </c>
      <c r="B6">
        <v>9</v>
      </c>
      <c r="C6" t="s">
        <v>723</v>
      </c>
      <c r="D6">
        <v>9</v>
      </c>
      <c r="E6">
        <v>5</v>
      </c>
      <c r="F6">
        <v>10</v>
      </c>
      <c r="G6" t="s">
        <v>724</v>
      </c>
      <c r="H6" t="s">
        <v>724</v>
      </c>
      <c r="I6" t="s">
        <v>671</v>
      </c>
    </row>
    <row r="7" spans="1:14" x14ac:dyDescent="0.25">
      <c r="A7" t="s">
        <v>678</v>
      </c>
      <c r="B7">
        <v>219</v>
      </c>
      <c r="C7" t="s">
        <v>723</v>
      </c>
      <c r="D7">
        <v>219</v>
      </c>
      <c r="E7">
        <v>14</v>
      </c>
      <c r="F7">
        <v>5</v>
      </c>
      <c r="G7" t="s">
        <v>724</v>
      </c>
      <c r="H7" t="s">
        <v>724</v>
      </c>
      <c r="I7" t="s">
        <v>671</v>
      </c>
    </row>
    <row r="8" spans="1:14" x14ac:dyDescent="0.25">
      <c r="A8" t="s">
        <v>677</v>
      </c>
      <c r="B8">
        <v>220</v>
      </c>
      <c r="C8" t="s">
        <v>723</v>
      </c>
      <c r="D8">
        <v>220</v>
      </c>
      <c r="E8">
        <v>5</v>
      </c>
      <c r="F8">
        <v>14</v>
      </c>
      <c r="G8" t="s">
        <v>724</v>
      </c>
      <c r="H8" t="s">
        <v>724</v>
      </c>
      <c r="I8" t="s">
        <v>671</v>
      </c>
    </row>
    <row r="9" spans="1:14" x14ac:dyDescent="0.25">
      <c r="A9" t="s">
        <v>681</v>
      </c>
      <c r="B9">
        <v>194</v>
      </c>
      <c r="C9" t="s">
        <v>723</v>
      </c>
      <c r="D9">
        <v>194</v>
      </c>
      <c r="E9">
        <v>7</v>
      </c>
      <c r="F9">
        <v>12</v>
      </c>
      <c r="G9" t="s">
        <v>724</v>
      </c>
      <c r="H9" t="s">
        <v>724</v>
      </c>
      <c r="I9" t="s">
        <v>671</v>
      </c>
    </row>
    <row r="10" spans="1:14" x14ac:dyDescent="0.25">
      <c r="A10" t="s">
        <v>679</v>
      </c>
      <c r="B10">
        <v>158</v>
      </c>
      <c r="C10" t="s">
        <v>723</v>
      </c>
      <c r="D10">
        <v>158</v>
      </c>
      <c r="E10">
        <v>12</v>
      </c>
      <c r="F10">
        <v>7</v>
      </c>
      <c r="G10" t="s">
        <v>724</v>
      </c>
      <c r="H10" t="s">
        <v>724</v>
      </c>
      <c r="I10" t="s">
        <v>671</v>
      </c>
    </row>
    <row r="11" spans="1:14" x14ac:dyDescent="0.25">
      <c r="A11" t="s">
        <v>679</v>
      </c>
      <c r="B11">
        <v>247</v>
      </c>
      <c r="C11" t="s">
        <v>723</v>
      </c>
      <c r="D11">
        <v>247</v>
      </c>
      <c r="E11">
        <v>12</v>
      </c>
      <c r="F11">
        <v>7</v>
      </c>
      <c r="G11" t="s">
        <v>724</v>
      </c>
      <c r="H11" t="s">
        <v>724</v>
      </c>
      <c r="I11" t="s">
        <v>671</v>
      </c>
    </row>
    <row r="12" spans="1:14" x14ac:dyDescent="0.25">
      <c r="A12" t="s">
        <v>679</v>
      </c>
      <c r="B12">
        <v>88</v>
      </c>
      <c r="C12" t="s">
        <v>723</v>
      </c>
      <c r="D12">
        <v>88</v>
      </c>
      <c r="E12">
        <v>12</v>
      </c>
      <c r="F12">
        <v>7</v>
      </c>
      <c r="G12" t="s">
        <v>724</v>
      </c>
      <c r="H12" t="s">
        <v>724</v>
      </c>
      <c r="I12" t="s">
        <v>671</v>
      </c>
    </row>
    <row r="13" spans="1:14" x14ac:dyDescent="0.25">
      <c r="A13" t="s">
        <v>682</v>
      </c>
      <c r="B13">
        <v>2</v>
      </c>
      <c r="C13" t="s">
        <v>723</v>
      </c>
      <c r="D13">
        <v>2</v>
      </c>
      <c r="E13">
        <v>5</v>
      </c>
      <c r="F13">
        <v>14</v>
      </c>
      <c r="G13" t="s">
        <v>724</v>
      </c>
      <c r="H13" t="s">
        <v>724</v>
      </c>
      <c r="I13" t="s">
        <v>671</v>
      </c>
    </row>
    <row r="14" spans="1:14" x14ac:dyDescent="0.25">
      <c r="A14" t="s">
        <v>683</v>
      </c>
      <c r="B14">
        <v>152</v>
      </c>
      <c r="C14" t="s">
        <v>723</v>
      </c>
      <c r="D14">
        <v>152</v>
      </c>
      <c r="E14">
        <v>14</v>
      </c>
      <c r="F14">
        <v>5</v>
      </c>
      <c r="G14" t="s">
        <v>724</v>
      </c>
      <c r="H14" t="s">
        <v>724</v>
      </c>
      <c r="I14" t="s">
        <v>671</v>
      </c>
    </row>
    <row r="15" spans="1:14" x14ac:dyDescent="0.25">
      <c r="A15" t="s">
        <v>682</v>
      </c>
      <c r="B15" t="s">
        <v>46</v>
      </c>
      <c r="C15" t="s">
        <v>722</v>
      </c>
      <c r="D15" t="s">
        <v>46</v>
      </c>
      <c r="E15">
        <v>5</v>
      </c>
      <c r="F15">
        <v>14</v>
      </c>
      <c r="G15" t="s">
        <v>644</v>
      </c>
      <c r="H15" t="s">
        <v>644</v>
      </c>
      <c r="I15" t="s">
        <v>671</v>
      </c>
    </row>
    <row r="16" spans="1:14" x14ac:dyDescent="0.25">
      <c r="A16" t="s">
        <v>683</v>
      </c>
      <c r="B16" t="s">
        <v>725</v>
      </c>
      <c r="C16" t="s">
        <v>722</v>
      </c>
      <c r="D16" t="s">
        <v>725</v>
      </c>
      <c r="E16">
        <v>14</v>
      </c>
      <c r="F16">
        <v>5</v>
      </c>
      <c r="G16" t="s">
        <v>644</v>
      </c>
      <c r="H16" t="s">
        <v>644</v>
      </c>
      <c r="I16" t="s">
        <v>671</v>
      </c>
    </row>
    <row r="17" spans="1:9" x14ac:dyDescent="0.25">
      <c r="A17" t="s">
        <v>684</v>
      </c>
      <c r="B17" t="s">
        <v>47</v>
      </c>
      <c r="C17" t="s">
        <v>722</v>
      </c>
      <c r="D17" t="s">
        <v>47</v>
      </c>
      <c r="E17">
        <v>14</v>
      </c>
      <c r="F17">
        <v>13</v>
      </c>
      <c r="G17" t="s">
        <v>644</v>
      </c>
      <c r="H17" t="s">
        <v>644</v>
      </c>
      <c r="I17" t="s">
        <v>671</v>
      </c>
    </row>
    <row r="18" spans="1:9" x14ac:dyDescent="0.25">
      <c r="A18" t="s">
        <v>684</v>
      </c>
      <c r="B18" t="s">
        <v>48</v>
      </c>
      <c r="C18" t="s">
        <v>722</v>
      </c>
      <c r="D18" t="s">
        <v>48</v>
      </c>
      <c r="E18">
        <v>14</v>
      </c>
      <c r="F18">
        <v>13</v>
      </c>
      <c r="G18" t="s">
        <v>644</v>
      </c>
      <c r="H18" t="s">
        <v>644</v>
      </c>
      <c r="I18" t="s">
        <v>671</v>
      </c>
    </row>
    <row r="19" spans="1:9" x14ac:dyDescent="0.25">
      <c r="A19" t="s">
        <v>686</v>
      </c>
      <c r="B19">
        <v>73</v>
      </c>
      <c r="C19" t="s">
        <v>723</v>
      </c>
      <c r="D19">
        <v>73</v>
      </c>
      <c r="E19">
        <v>13</v>
      </c>
      <c r="F19">
        <v>14</v>
      </c>
      <c r="G19" t="s">
        <v>724</v>
      </c>
      <c r="H19" t="s">
        <v>724</v>
      </c>
      <c r="I19" t="s">
        <v>671</v>
      </c>
    </row>
    <row r="20" spans="1:9" x14ac:dyDescent="0.25">
      <c r="A20" t="s">
        <v>684</v>
      </c>
      <c r="B20">
        <v>241</v>
      </c>
      <c r="C20" t="s">
        <v>723</v>
      </c>
      <c r="D20">
        <v>241</v>
      </c>
      <c r="E20">
        <v>14</v>
      </c>
      <c r="F20">
        <v>13</v>
      </c>
      <c r="G20" t="s">
        <v>724</v>
      </c>
      <c r="H20" t="s">
        <v>724</v>
      </c>
      <c r="I20" t="s">
        <v>671</v>
      </c>
    </row>
    <row r="21" spans="1:9" x14ac:dyDescent="0.25">
      <c r="A21" t="s">
        <v>684</v>
      </c>
      <c r="B21">
        <v>121</v>
      </c>
      <c r="C21" t="s">
        <v>723</v>
      </c>
      <c r="D21">
        <v>121</v>
      </c>
      <c r="E21">
        <v>14</v>
      </c>
      <c r="F21">
        <v>13</v>
      </c>
      <c r="G21" t="s">
        <v>724</v>
      </c>
      <c r="H21" t="s">
        <v>724</v>
      </c>
      <c r="I21" t="s">
        <v>671</v>
      </c>
    </row>
    <row r="22" spans="1:9" x14ac:dyDescent="0.25">
      <c r="A22" t="s">
        <v>687</v>
      </c>
      <c r="B22">
        <v>177</v>
      </c>
      <c r="C22" t="s">
        <v>723</v>
      </c>
      <c r="D22">
        <v>177</v>
      </c>
      <c r="E22">
        <v>14</v>
      </c>
      <c r="F22">
        <v>11</v>
      </c>
      <c r="G22" t="s">
        <v>724</v>
      </c>
      <c r="H22" t="s">
        <v>724</v>
      </c>
      <c r="I22" t="s">
        <v>671</v>
      </c>
    </row>
    <row r="23" spans="1:9" x14ac:dyDescent="0.25">
      <c r="A23" t="s">
        <v>689</v>
      </c>
      <c r="B23">
        <v>66</v>
      </c>
      <c r="C23" t="s">
        <v>723</v>
      </c>
      <c r="D23">
        <v>66</v>
      </c>
      <c r="E23">
        <v>11</v>
      </c>
      <c r="F23">
        <v>14</v>
      </c>
      <c r="G23" t="s">
        <v>724</v>
      </c>
      <c r="H23" t="s">
        <v>724</v>
      </c>
      <c r="I23" t="s">
        <v>671</v>
      </c>
    </row>
    <row r="24" spans="1:9" x14ac:dyDescent="0.25">
      <c r="A24" t="s">
        <v>692</v>
      </c>
      <c r="B24">
        <v>145</v>
      </c>
      <c r="C24" t="s">
        <v>723</v>
      </c>
      <c r="D24">
        <v>145</v>
      </c>
      <c r="E24">
        <v>6</v>
      </c>
      <c r="F24">
        <v>14</v>
      </c>
      <c r="G24" t="s">
        <v>724</v>
      </c>
      <c r="H24" t="s">
        <v>724</v>
      </c>
      <c r="I24" t="s">
        <v>671</v>
      </c>
    </row>
    <row r="25" spans="1:9" x14ac:dyDescent="0.25">
      <c r="A25" t="s">
        <v>690</v>
      </c>
      <c r="B25">
        <v>56</v>
      </c>
      <c r="C25" t="s">
        <v>723</v>
      </c>
      <c r="D25">
        <v>56</v>
      </c>
      <c r="E25">
        <v>14</v>
      </c>
      <c r="F25">
        <v>6</v>
      </c>
      <c r="G25" t="s">
        <v>724</v>
      </c>
      <c r="H25" t="s">
        <v>724</v>
      </c>
      <c r="I25" t="s">
        <v>671</v>
      </c>
    </row>
    <row r="26" spans="1:9" x14ac:dyDescent="0.25">
      <c r="A26" t="s">
        <v>690</v>
      </c>
      <c r="B26">
        <v>93</v>
      </c>
      <c r="C26" t="s">
        <v>723</v>
      </c>
      <c r="D26">
        <v>93</v>
      </c>
      <c r="E26">
        <v>14</v>
      </c>
      <c r="F26">
        <v>6</v>
      </c>
      <c r="G26" t="s">
        <v>724</v>
      </c>
      <c r="H26" t="s">
        <v>724</v>
      </c>
      <c r="I26" t="s">
        <v>671</v>
      </c>
    </row>
    <row r="27" spans="1:9" x14ac:dyDescent="0.25">
      <c r="A27" t="s">
        <v>690</v>
      </c>
      <c r="B27">
        <v>161</v>
      </c>
      <c r="C27" t="s">
        <v>723</v>
      </c>
      <c r="D27">
        <v>161</v>
      </c>
      <c r="E27">
        <v>14</v>
      </c>
      <c r="F27">
        <v>6</v>
      </c>
      <c r="G27" t="s">
        <v>724</v>
      </c>
      <c r="H27" t="s">
        <v>724</v>
      </c>
      <c r="I27" t="s">
        <v>671</v>
      </c>
    </row>
    <row r="28" spans="1:9" x14ac:dyDescent="0.25">
      <c r="A28" t="s">
        <v>690</v>
      </c>
      <c r="B28" t="s">
        <v>725</v>
      </c>
      <c r="C28" t="s">
        <v>722</v>
      </c>
      <c r="D28" t="s">
        <v>725</v>
      </c>
      <c r="E28">
        <v>14</v>
      </c>
      <c r="F28">
        <v>6</v>
      </c>
      <c r="G28" t="s">
        <v>644</v>
      </c>
      <c r="H28" t="s">
        <v>644</v>
      </c>
      <c r="I28" t="s">
        <v>671</v>
      </c>
    </row>
    <row r="29" spans="1:9" x14ac:dyDescent="0.25">
      <c r="A29" t="s">
        <v>693</v>
      </c>
      <c r="B29" t="s">
        <v>47</v>
      </c>
      <c r="C29" t="s">
        <v>722</v>
      </c>
      <c r="D29" t="s">
        <v>47</v>
      </c>
      <c r="E29">
        <v>13</v>
      </c>
      <c r="F29">
        <v>5</v>
      </c>
      <c r="G29" t="s">
        <v>644</v>
      </c>
      <c r="H29" t="s">
        <v>644</v>
      </c>
      <c r="I29" t="s">
        <v>671</v>
      </c>
    </row>
    <row r="30" spans="1:9" x14ac:dyDescent="0.25">
      <c r="A30" t="s">
        <v>693</v>
      </c>
      <c r="B30" t="s">
        <v>48</v>
      </c>
      <c r="C30" t="s">
        <v>722</v>
      </c>
      <c r="D30" t="s">
        <v>48</v>
      </c>
      <c r="E30">
        <v>13</v>
      </c>
      <c r="F30">
        <v>5</v>
      </c>
      <c r="G30" t="s">
        <v>644</v>
      </c>
      <c r="H30" t="s">
        <v>644</v>
      </c>
      <c r="I30" t="s">
        <v>671</v>
      </c>
    </row>
    <row r="31" spans="1:9" x14ac:dyDescent="0.25">
      <c r="A31" t="s">
        <v>694</v>
      </c>
      <c r="B31" t="s">
        <v>103</v>
      </c>
      <c r="C31" t="s">
        <v>722</v>
      </c>
      <c r="D31" t="s">
        <v>103</v>
      </c>
      <c r="E31">
        <v>5</v>
      </c>
      <c r="F31">
        <v>13</v>
      </c>
      <c r="G31" t="s">
        <v>644</v>
      </c>
      <c r="H31" t="s">
        <v>644</v>
      </c>
      <c r="I31" t="s">
        <v>671</v>
      </c>
    </row>
    <row r="32" spans="1:9" x14ac:dyDescent="0.25">
      <c r="A32" t="s">
        <v>693</v>
      </c>
      <c r="B32">
        <v>409</v>
      </c>
      <c r="C32" t="s">
        <v>723</v>
      </c>
      <c r="D32">
        <v>409</v>
      </c>
      <c r="E32">
        <v>13</v>
      </c>
      <c r="F32">
        <v>5</v>
      </c>
      <c r="G32" t="s">
        <v>724</v>
      </c>
      <c r="H32" t="s">
        <v>724</v>
      </c>
      <c r="I32" t="s">
        <v>671</v>
      </c>
    </row>
    <row r="33" spans="1:9" x14ac:dyDescent="0.25">
      <c r="A33" t="s">
        <v>693</v>
      </c>
      <c r="B33">
        <v>48</v>
      </c>
      <c r="C33" t="s">
        <v>723</v>
      </c>
      <c r="D33">
        <v>48</v>
      </c>
      <c r="E33">
        <v>13</v>
      </c>
      <c r="F33">
        <v>5</v>
      </c>
      <c r="G33" t="s">
        <v>724</v>
      </c>
      <c r="H33" t="s">
        <v>724</v>
      </c>
      <c r="I33" t="s">
        <v>671</v>
      </c>
    </row>
    <row r="34" spans="1:9" x14ac:dyDescent="0.25">
      <c r="A34" t="s">
        <v>694</v>
      </c>
      <c r="B34">
        <v>414</v>
      </c>
      <c r="C34" t="s">
        <v>723</v>
      </c>
      <c r="D34">
        <v>414</v>
      </c>
      <c r="E34">
        <v>5</v>
      </c>
      <c r="F34">
        <v>13</v>
      </c>
      <c r="G34" t="s">
        <v>724</v>
      </c>
      <c r="H34" t="s">
        <v>724</v>
      </c>
      <c r="I34" t="s">
        <v>671</v>
      </c>
    </row>
    <row r="35" spans="1:9" x14ac:dyDescent="0.25">
      <c r="A35" t="s">
        <v>696</v>
      </c>
      <c r="B35">
        <v>238</v>
      </c>
      <c r="C35" t="s">
        <v>723</v>
      </c>
      <c r="D35">
        <v>238</v>
      </c>
      <c r="E35">
        <v>5</v>
      </c>
      <c r="F35">
        <v>14</v>
      </c>
      <c r="G35" t="s">
        <v>724</v>
      </c>
      <c r="H35" t="s">
        <v>724</v>
      </c>
      <c r="I35" t="s">
        <v>671</v>
      </c>
    </row>
    <row r="36" spans="1:9" x14ac:dyDescent="0.25">
      <c r="A36" t="s">
        <v>695</v>
      </c>
      <c r="B36">
        <v>133</v>
      </c>
      <c r="C36" t="s">
        <v>723</v>
      </c>
      <c r="D36">
        <v>133</v>
      </c>
      <c r="E36">
        <v>14</v>
      </c>
      <c r="F36">
        <v>5</v>
      </c>
      <c r="G36" t="s">
        <v>724</v>
      </c>
      <c r="H36" t="s">
        <v>724</v>
      </c>
      <c r="I36" t="s">
        <v>671</v>
      </c>
    </row>
    <row r="37" spans="1:9" x14ac:dyDescent="0.25">
      <c r="A37" t="s">
        <v>697</v>
      </c>
      <c r="B37">
        <v>143</v>
      </c>
      <c r="C37" t="s">
        <v>723</v>
      </c>
      <c r="D37">
        <v>143</v>
      </c>
      <c r="E37">
        <v>2</v>
      </c>
      <c r="F37">
        <v>5</v>
      </c>
      <c r="G37" t="s">
        <v>724</v>
      </c>
      <c r="H37" t="s">
        <v>724</v>
      </c>
      <c r="I37" t="s">
        <v>671</v>
      </c>
    </row>
    <row r="38" spans="1:9" x14ac:dyDescent="0.25">
      <c r="A38" t="s">
        <v>697</v>
      </c>
      <c r="B38">
        <v>72</v>
      </c>
      <c r="C38" t="s">
        <v>723</v>
      </c>
      <c r="D38">
        <v>72</v>
      </c>
      <c r="E38">
        <v>2</v>
      </c>
      <c r="F38">
        <v>5</v>
      </c>
      <c r="G38" t="s">
        <v>724</v>
      </c>
      <c r="H38" t="s">
        <v>724</v>
      </c>
      <c r="I38" t="s">
        <v>671</v>
      </c>
    </row>
    <row r="39" spans="1:9" x14ac:dyDescent="0.25">
      <c r="A39" t="s">
        <v>698</v>
      </c>
      <c r="B39">
        <v>219</v>
      </c>
      <c r="C39" t="s">
        <v>723</v>
      </c>
      <c r="D39">
        <v>219</v>
      </c>
      <c r="E39">
        <v>5</v>
      </c>
      <c r="F39">
        <v>2</v>
      </c>
      <c r="G39" t="s">
        <v>724</v>
      </c>
      <c r="H39" t="s">
        <v>724</v>
      </c>
      <c r="I39" t="s">
        <v>671</v>
      </c>
    </row>
    <row r="40" spans="1:9" x14ac:dyDescent="0.25">
      <c r="A40" t="s">
        <v>698</v>
      </c>
      <c r="B40">
        <v>49</v>
      </c>
      <c r="C40" t="s">
        <v>723</v>
      </c>
      <c r="D40">
        <v>49</v>
      </c>
      <c r="E40">
        <v>5</v>
      </c>
      <c r="F40">
        <v>2</v>
      </c>
      <c r="G40" t="s">
        <v>724</v>
      </c>
      <c r="H40" t="s">
        <v>724</v>
      </c>
      <c r="I40" t="s">
        <v>671</v>
      </c>
    </row>
    <row r="41" spans="1:9" x14ac:dyDescent="0.25">
      <c r="A41" t="s">
        <v>698</v>
      </c>
      <c r="B41" t="s">
        <v>25</v>
      </c>
      <c r="C41" t="s">
        <v>722</v>
      </c>
      <c r="D41" t="s">
        <v>25</v>
      </c>
      <c r="E41">
        <v>5</v>
      </c>
      <c r="F41">
        <v>2</v>
      </c>
      <c r="G41" t="s">
        <v>644</v>
      </c>
      <c r="H41" t="s">
        <v>644</v>
      </c>
      <c r="I41" t="s">
        <v>671</v>
      </c>
    </row>
    <row r="42" spans="1:9" x14ac:dyDescent="0.25">
      <c r="A42" t="s">
        <v>699</v>
      </c>
      <c r="B42">
        <v>92</v>
      </c>
      <c r="C42" t="s">
        <v>723</v>
      </c>
      <c r="D42">
        <v>92</v>
      </c>
      <c r="E42">
        <v>5</v>
      </c>
      <c r="F42">
        <v>5</v>
      </c>
      <c r="G42" t="s">
        <v>724</v>
      </c>
      <c r="H42" t="s">
        <v>726</v>
      </c>
      <c r="I42" t="s">
        <v>671</v>
      </c>
    </row>
    <row r="43" spans="1:9" x14ac:dyDescent="0.25">
      <c r="A43" t="s">
        <v>700</v>
      </c>
      <c r="B43">
        <v>241</v>
      </c>
      <c r="C43" t="s">
        <v>723</v>
      </c>
      <c r="D43">
        <v>241</v>
      </c>
      <c r="E43">
        <v>13</v>
      </c>
      <c r="F43">
        <v>13</v>
      </c>
      <c r="G43" t="s">
        <v>724</v>
      </c>
      <c r="H43" t="s">
        <v>726</v>
      </c>
      <c r="I43" t="s">
        <v>671</v>
      </c>
    </row>
    <row r="44" spans="1:9" x14ac:dyDescent="0.25">
      <c r="A44" t="s">
        <v>702</v>
      </c>
      <c r="B44">
        <v>259</v>
      </c>
      <c r="C44" t="s">
        <v>723</v>
      </c>
      <c r="D44">
        <v>259</v>
      </c>
      <c r="E44">
        <v>14</v>
      </c>
      <c r="F44">
        <v>14</v>
      </c>
      <c r="G44" t="s">
        <v>724</v>
      </c>
      <c r="H44" t="s">
        <v>726</v>
      </c>
      <c r="I44" t="s">
        <v>671</v>
      </c>
    </row>
    <row r="45" spans="1:9" x14ac:dyDescent="0.25">
      <c r="A45" t="s">
        <v>703</v>
      </c>
      <c r="B45">
        <v>133</v>
      </c>
      <c r="C45" t="s">
        <v>723</v>
      </c>
      <c r="D45">
        <v>133</v>
      </c>
      <c r="E45">
        <v>5</v>
      </c>
      <c r="F45">
        <v>5</v>
      </c>
      <c r="G45" t="s">
        <v>724</v>
      </c>
      <c r="H45" t="s">
        <v>726</v>
      </c>
      <c r="I45" t="s">
        <v>671</v>
      </c>
    </row>
    <row r="46" spans="1:9" x14ac:dyDescent="0.25">
      <c r="A46" t="s">
        <v>703</v>
      </c>
      <c r="B46">
        <v>139</v>
      </c>
      <c r="C46" t="s">
        <v>723</v>
      </c>
      <c r="D46">
        <v>139</v>
      </c>
      <c r="E46">
        <v>5</v>
      </c>
      <c r="F46">
        <v>5</v>
      </c>
      <c r="G46" t="s">
        <v>726</v>
      </c>
      <c r="H46" t="s">
        <v>724</v>
      </c>
      <c r="I46" t="s">
        <v>671</v>
      </c>
    </row>
    <row r="47" spans="1:9" x14ac:dyDescent="0.25">
      <c r="A47" t="s">
        <v>704</v>
      </c>
      <c r="B47">
        <v>273</v>
      </c>
      <c r="C47" t="s">
        <v>723</v>
      </c>
      <c r="D47">
        <v>273</v>
      </c>
      <c r="E47">
        <v>14</v>
      </c>
      <c r="F47">
        <v>14</v>
      </c>
      <c r="G47" t="s">
        <v>726</v>
      </c>
      <c r="H47" t="s">
        <v>724</v>
      </c>
      <c r="I47" t="s">
        <v>671</v>
      </c>
    </row>
    <row r="48" spans="1:9" x14ac:dyDescent="0.25">
      <c r="A48" t="s">
        <v>705</v>
      </c>
      <c r="B48">
        <v>49</v>
      </c>
      <c r="C48" t="s">
        <v>723</v>
      </c>
      <c r="D48">
        <v>49</v>
      </c>
      <c r="E48">
        <v>2</v>
      </c>
      <c r="F48">
        <v>2</v>
      </c>
      <c r="G48" t="s">
        <v>724</v>
      </c>
      <c r="H48" t="s">
        <v>726</v>
      </c>
      <c r="I48" t="s">
        <v>671</v>
      </c>
    </row>
    <row r="49" spans="1:10" x14ac:dyDescent="0.25">
      <c r="A49" t="s">
        <v>705</v>
      </c>
      <c r="B49">
        <v>8</v>
      </c>
      <c r="C49" t="s">
        <v>723</v>
      </c>
      <c r="D49">
        <v>8</v>
      </c>
      <c r="E49">
        <v>2</v>
      </c>
      <c r="F49">
        <v>2</v>
      </c>
      <c r="G49" t="s">
        <v>724</v>
      </c>
      <c r="H49" t="s">
        <v>726</v>
      </c>
      <c r="I49" t="s">
        <v>671</v>
      </c>
    </row>
    <row r="50" spans="1:10" x14ac:dyDescent="0.25">
      <c r="A50" t="s">
        <v>705</v>
      </c>
      <c r="B50">
        <v>290</v>
      </c>
      <c r="C50" t="s">
        <v>723</v>
      </c>
      <c r="D50">
        <v>290</v>
      </c>
      <c r="E50">
        <v>2</v>
      </c>
      <c r="F50">
        <v>2</v>
      </c>
      <c r="G50" t="s">
        <v>724</v>
      </c>
      <c r="H50" t="s">
        <v>726</v>
      </c>
      <c r="I50" t="s">
        <v>671</v>
      </c>
    </row>
    <row r="51" spans="1:10" x14ac:dyDescent="0.25">
      <c r="A51" t="s">
        <v>707</v>
      </c>
      <c r="B51">
        <v>209</v>
      </c>
      <c r="C51" t="s">
        <v>723</v>
      </c>
      <c r="D51">
        <v>209</v>
      </c>
      <c r="E51">
        <v>5</v>
      </c>
      <c r="F51" t="s">
        <v>644</v>
      </c>
      <c r="G51" t="s">
        <v>724</v>
      </c>
      <c r="H51" t="s">
        <v>644</v>
      </c>
      <c r="I51" t="s">
        <v>671</v>
      </c>
      <c r="J51" t="s">
        <v>727</v>
      </c>
    </row>
    <row r="52" spans="1:10" x14ac:dyDescent="0.25">
      <c r="A52" t="s">
        <v>708</v>
      </c>
      <c r="B52">
        <v>94</v>
      </c>
      <c r="C52" t="s">
        <v>723</v>
      </c>
      <c r="D52">
        <v>94</v>
      </c>
      <c r="E52">
        <v>13</v>
      </c>
      <c r="F52" t="s">
        <v>644</v>
      </c>
      <c r="G52" t="s">
        <v>724</v>
      </c>
      <c r="H52" t="s">
        <v>644</v>
      </c>
      <c r="I52" t="s">
        <v>671</v>
      </c>
      <c r="J52" t="s">
        <v>728</v>
      </c>
    </row>
    <row r="53" spans="1:10" x14ac:dyDescent="0.25">
      <c r="A53">
        <v>1</v>
      </c>
      <c r="B53">
        <v>1</v>
      </c>
      <c r="C53" t="s">
        <v>723</v>
      </c>
      <c r="D53">
        <v>420</v>
      </c>
      <c r="E53">
        <v>6</v>
      </c>
      <c r="F53">
        <v>1</v>
      </c>
      <c r="G53" t="s">
        <v>640</v>
      </c>
      <c r="H53" t="s">
        <v>640</v>
      </c>
      <c r="I53" t="s">
        <v>671</v>
      </c>
    </row>
    <row r="54" spans="1:10" x14ac:dyDescent="0.25">
      <c r="A54">
        <v>1</v>
      </c>
      <c r="B54">
        <v>2</v>
      </c>
      <c r="C54" t="s">
        <v>722</v>
      </c>
      <c r="D54" t="s">
        <v>55</v>
      </c>
      <c r="E54">
        <v>6</v>
      </c>
      <c r="F54">
        <v>1</v>
      </c>
      <c r="I54" t="s">
        <v>671</v>
      </c>
    </row>
    <row r="55" spans="1:10" x14ac:dyDescent="0.25">
      <c r="A55">
        <v>1</v>
      </c>
      <c r="B55">
        <v>3</v>
      </c>
      <c r="C55" t="s">
        <v>723</v>
      </c>
      <c r="D55">
        <v>419</v>
      </c>
      <c r="E55">
        <v>1</v>
      </c>
      <c r="F55">
        <v>6</v>
      </c>
      <c r="G55" t="s">
        <v>640</v>
      </c>
      <c r="H55" t="s">
        <v>640</v>
      </c>
      <c r="I55" t="s">
        <v>671</v>
      </c>
    </row>
    <row r="56" spans="1:10" x14ac:dyDescent="0.25">
      <c r="A56">
        <v>2</v>
      </c>
      <c r="B56">
        <v>1</v>
      </c>
      <c r="C56" t="s">
        <v>722</v>
      </c>
      <c r="D56" t="s">
        <v>55</v>
      </c>
      <c r="E56">
        <v>6</v>
      </c>
      <c r="F56">
        <v>1</v>
      </c>
      <c r="I56" t="s">
        <v>671</v>
      </c>
    </row>
    <row r="57" spans="1:10" x14ac:dyDescent="0.25">
      <c r="A57">
        <v>3</v>
      </c>
      <c r="B57">
        <v>4</v>
      </c>
      <c r="C57" t="s">
        <v>723</v>
      </c>
      <c r="D57">
        <v>421</v>
      </c>
      <c r="E57">
        <v>7</v>
      </c>
      <c r="F57">
        <v>7</v>
      </c>
      <c r="G57" t="s">
        <v>640</v>
      </c>
      <c r="H57" t="s">
        <v>643</v>
      </c>
      <c r="I57" t="s">
        <v>671</v>
      </c>
    </row>
    <row r="58" spans="1:10" x14ac:dyDescent="0.25">
      <c r="A58">
        <v>4</v>
      </c>
      <c r="B58">
        <v>1</v>
      </c>
      <c r="C58" t="s">
        <v>723</v>
      </c>
      <c r="D58">
        <v>130</v>
      </c>
      <c r="E58">
        <v>7</v>
      </c>
      <c r="F58">
        <v>5</v>
      </c>
      <c r="G58" t="s">
        <v>640</v>
      </c>
      <c r="H58" t="s">
        <v>640</v>
      </c>
      <c r="I58" t="s">
        <v>671</v>
      </c>
    </row>
    <row r="59" spans="1:10" x14ac:dyDescent="0.25">
      <c r="A59">
        <v>4</v>
      </c>
      <c r="B59">
        <v>2</v>
      </c>
      <c r="C59" t="s">
        <v>722</v>
      </c>
      <c r="D59" t="s">
        <v>48</v>
      </c>
      <c r="E59">
        <v>5</v>
      </c>
      <c r="F59">
        <v>7</v>
      </c>
      <c r="I59" t="s">
        <v>671</v>
      </c>
    </row>
    <row r="60" spans="1:10" x14ac:dyDescent="0.25">
      <c r="A60">
        <v>4</v>
      </c>
      <c r="B60">
        <v>3</v>
      </c>
      <c r="C60" t="s">
        <v>722</v>
      </c>
      <c r="D60" t="s">
        <v>49</v>
      </c>
      <c r="E60">
        <v>5</v>
      </c>
      <c r="F60">
        <v>7</v>
      </c>
      <c r="I60" t="s">
        <v>671</v>
      </c>
    </row>
    <row r="61" spans="1:10" x14ac:dyDescent="0.25">
      <c r="A61">
        <v>6</v>
      </c>
      <c r="B61">
        <v>1</v>
      </c>
      <c r="C61" t="s">
        <v>723</v>
      </c>
      <c r="D61">
        <v>49</v>
      </c>
      <c r="E61">
        <v>2</v>
      </c>
      <c r="F61">
        <v>2</v>
      </c>
      <c r="G61" t="s">
        <v>726</v>
      </c>
      <c r="H61" t="s">
        <v>724</v>
      </c>
      <c r="I61" t="s">
        <v>671</v>
      </c>
    </row>
    <row r="62" spans="1:10" x14ac:dyDescent="0.25">
      <c r="A62">
        <v>6</v>
      </c>
      <c r="B62">
        <v>2</v>
      </c>
      <c r="C62" t="s">
        <v>723</v>
      </c>
      <c r="D62">
        <v>423</v>
      </c>
      <c r="E62">
        <v>2</v>
      </c>
      <c r="F62">
        <v>2</v>
      </c>
      <c r="G62" t="s">
        <v>640</v>
      </c>
      <c r="H62" t="s">
        <v>643</v>
      </c>
      <c r="I62" t="s">
        <v>671</v>
      </c>
    </row>
    <row r="63" spans="1:10" x14ac:dyDescent="0.25">
      <c r="A63">
        <v>5</v>
      </c>
      <c r="B63">
        <v>1</v>
      </c>
      <c r="C63" t="s">
        <v>723</v>
      </c>
      <c r="D63">
        <v>435</v>
      </c>
      <c r="E63">
        <v>7</v>
      </c>
      <c r="F63">
        <v>7</v>
      </c>
      <c r="G63" t="s">
        <v>640</v>
      </c>
      <c r="H63" t="s">
        <v>643</v>
      </c>
      <c r="I63" t="s">
        <v>671</v>
      </c>
    </row>
    <row r="64" spans="1:10" x14ac:dyDescent="0.25">
      <c r="A64">
        <v>5</v>
      </c>
      <c r="B64">
        <v>2</v>
      </c>
      <c r="C64" t="s">
        <v>723</v>
      </c>
      <c r="D64">
        <v>437</v>
      </c>
      <c r="E64">
        <v>7</v>
      </c>
      <c r="F64">
        <v>7</v>
      </c>
      <c r="G64" t="s">
        <v>640</v>
      </c>
      <c r="H64" t="s">
        <v>643</v>
      </c>
      <c r="I64" t="s">
        <v>671</v>
      </c>
    </row>
    <row r="65" spans="1:9" x14ac:dyDescent="0.25">
      <c r="A65">
        <v>7</v>
      </c>
      <c r="B65">
        <v>1</v>
      </c>
      <c r="C65" t="s">
        <v>723</v>
      </c>
      <c r="D65">
        <v>434</v>
      </c>
      <c r="E65">
        <v>7</v>
      </c>
      <c r="F65">
        <v>7</v>
      </c>
      <c r="G65" t="s">
        <v>640</v>
      </c>
      <c r="H65" t="s">
        <v>643</v>
      </c>
      <c r="I65" t="s">
        <v>671</v>
      </c>
    </row>
    <row r="66" spans="1:9" x14ac:dyDescent="0.25">
      <c r="A66">
        <v>7</v>
      </c>
      <c r="B66">
        <v>2</v>
      </c>
      <c r="C66" t="s">
        <v>723</v>
      </c>
      <c r="D66">
        <v>437</v>
      </c>
      <c r="E66">
        <v>7</v>
      </c>
      <c r="F66">
        <v>7</v>
      </c>
      <c r="G66" t="s">
        <v>643</v>
      </c>
      <c r="H66" t="s">
        <v>640</v>
      </c>
      <c r="I66" t="s">
        <v>671</v>
      </c>
    </row>
    <row r="67" spans="1:9" x14ac:dyDescent="0.25">
      <c r="A67">
        <v>8</v>
      </c>
      <c r="B67">
        <v>1</v>
      </c>
      <c r="C67" t="s">
        <v>723</v>
      </c>
      <c r="D67">
        <v>437</v>
      </c>
      <c r="E67">
        <v>7</v>
      </c>
      <c r="F67">
        <v>7</v>
      </c>
      <c r="G67" t="s">
        <v>640</v>
      </c>
      <c r="H67" t="s">
        <v>643</v>
      </c>
      <c r="I67" t="s">
        <v>671</v>
      </c>
    </row>
    <row r="68" spans="1:9" x14ac:dyDescent="0.25">
      <c r="A68">
        <v>8</v>
      </c>
      <c r="B68">
        <v>2</v>
      </c>
      <c r="C68" t="s">
        <v>723</v>
      </c>
      <c r="D68">
        <v>434</v>
      </c>
      <c r="E68">
        <v>7</v>
      </c>
      <c r="F68">
        <v>7</v>
      </c>
      <c r="G68" t="s">
        <v>643</v>
      </c>
      <c r="H68" t="s">
        <v>640</v>
      </c>
      <c r="I68" t="s">
        <v>671</v>
      </c>
    </row>
    <row r="69" spans="1:9" x14ac:dyDescent="0.25">
      <c r="A69">
        <v>9</v>
      </c>
      <c r="B69">
        <v>1</v>
      </c>
      <c r="C69" t="s">
        <v>722</v>
      </c>
      <c r="D69" t="s">
        <v>26</v>
      </c>
      <c r="E69">
        <v>2</v>
      </c>
      <c r="F69">
        <v>13</v>
      </c>
      <c r="I69" t="s">
        <v>671</v>
      </c>
    </row>
    <row r="70" spans="1:9" x14ac:dyDescent="0.25">
      <c r="A70">
        <v>9</v>
      </c>
      <c r="B70">
        <v>2</v>
      </c>
      <c r="C70" t="s">
        <v>722</v>
      </c>
      <c r="D70" t="s">
        <v>105</v>
      </c>
      <c r="E70">
        <v>13</v>
      </c>
      <c r="F70">
        <v>2</v>
      </c>
      <c r="I70" t="s">
        <v>671</v>
      </c>
    </row>
    <row r="71" spans="1:9" x14ac:dyDescent="0.25">
      <c r="A71">
        <v>1</v>
      </c>
      <c r="B71">
        <v>1</v>
      </c>
      <c r="C71" t="s">
        <v>723</v>
      </c>
      <c r="D71">
        <v>93</v>
      </c>
      <c r="E71">
        <v>6</v>
      </c>
      <c r="G71" t="s">
        <v>640</v>
      </c>
      <c r="I71" t="s">
        <v>671</v>
      </c>
    </row>
    <row r="72" spans="1:9" x14ac:dyDescent="0.25">
      <c r="A72">
        <v>2</v>
      </c>
      <c r="B72">
        <v>1</v>
      </c>
      <c r="C72" t="s">
        <v>723</v>
      </c>
      <c r="D72">
        <v>158</v>
      </c>
      <c r="E72">
        <v>7</v>
      </c>
      <c r="G72" t="s">
        <v>640</v>
      </c>
      <c r="I72" t="s">
        <v>671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8"/>
  <sheetViews>
    <sheetView workbookViewId="0"/>
  </sheetViews>
  <sheetFormatPr defaultRowHeight="15" x14ac:dyDescent="0.25"/>
  <sheetData>
    <row r="1" spans="1:12" x14ac:dyDescent="0.25">
      <c r="A1" t="s">
        <v>583</v>
      </c>
      <c r="B1" t="s">
        <v>117</v>
      </c>
      <c r="C1" t="s">
        <v>729</v>
      </c>
      <c r="D1" t="s">
        <v>730</v>
      </c>
      <c r="E1" t="s">
        <v>731</v>
      </c>
      <c r="F1" t="s">
        <v>732</v>
      </c>
      <c r="G1" t="s">
        <v>733</v>
      </c>
      <c r="H1" t="s">
        <v>734</v>
      </c>
      <c r="I1" t="s">
        <v>735</v>
      </c>
      <c r="J1" t="s">
        <v>736</v>
      </c>
      <c r="K1" t="s">
        <v>737</v>
      </c>
      <c r="L1" t="s">
        <v>738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739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107</v>
      </c>
      <c r="C15">
        <v>16</v>
      </c>
      <c r="L15" t="str">
        <f>VLOOKUP(B16,players!A:B,2)</f>
        <v>Jaden Ivey</v>
      </c>
    </row>
    <row r="16" spans="1:12" x14ac:dyDescent="0.25">
      <c r="A16">
        <v>1</v>
      </c>
      <c r="B16">
        <v>324</v>
      </c>
      <c r="C16">
        <v>1</v>
      </c>
      <c r="D16">
        <v>3100000</v>
      </c>
      <c r="F16">
        <v>3100000</v>
      </c>
      <c r="H16">
        <v>3100000</v>
      </c>
      <c r="L16" t="str">
        <f>VLOOKUP(B17,players!A:B,2)</f>
        <v>Bogdan Bogdanović</v>
      </c>
    </row>
    <row r="17" spans="1:12" x14ac:dyDescent="0.25">
      <c r="A17">
        <v>1</v>
      </c>
      <c r="B17">
        <v>314</v>
      </c>
      <c r="C17">
        <v>2</v>
      </c>
      <c r="L17" t="str">
        <f>VLOOKUP(B18,players!A:B,2)</f>
        <v>Ace Bailey</v>
      </c>
    </row>
    <row r="18" spans="1:12" x14ac:dyDescent="0.25">
      <c r="A18">
        <v>1</v>
      </c>
      <c r="B18">
        <v>172</v>
      </c>
      <c r="C18">
        <v>3</v>
      </c>
      <c r="D18">
        <v>7500000</v>
      </c>
      <c r="F18">
        <v>8500000</v>
      </c>
      <c r="G18" t="s">
        <v>739</v>
      </c>
      <c r="H18">
        <v>9000000</v>
      </c>
      <c r="I18" t="s">
        <v>739</v>
      </c>
      <c r="L18" t="str">
        <f>VLOOKUP(B19,players!A:B,2)</f>
        <v>Andrew Wiggins</v>
      </c>
    </row>
    <row r="19" spans="1:12" x14ac:dyDescent="0.25">
      <c r="A19">
        <v>1</v>
      </c>
      <c r="B19">
        <v>146</v>
      </c>
      <c r="C19">
        <v>4</v>
      </c>
      <c r="L19" t="str">
        <f>VLOOKUP(B20,players!A:B,2)</f>
        <v>Noah Clowney</v>
      </c>
    </row>
    <row r="20" spans="1:12" x14ac:dyDescent="0.25">
      <c r="A20">
        <v>1</v>
      </c>
      <c r="B20">
        <v>180</v>
      </c>
      <c r="C20">
        <v>5</v>
      </c>
      <c r="L20" t="str">
        <f>VLOOKUP(B21,players!A:B,2)</f>
        <v>Asa Newell</v>
      </c>
    </row>
    <row r="21" spans="1:12" x14ac:dyDescent="0.25">
      <c r="A21">
        <v>1</v>
      </c>
      <c r="B21">
        <v>355</v>
      </c>
      <c r="C21">
        <v>6</v>
      </c>
      <c r="D21">
        <v>1000000</v>
      </c>
      <c r="F21">
        <v>1000000</v>
      </c>
      <c r="G21" t="s">
        <v>739</v>
      </c>
      <c r="H21">
        <v>1000000</v>
      </c>
      <c r="I21" t="s">
        <v>739</v>
      </c>
      <c r="L21" t="str">
        <f>VLOOKUP(B22,players!A:B,2)</f>
        <v>Onyeka Okongwu</v>
      </c>
    </row>
    <row r="22" spans="1:12" x14ac:dyDescent="0.25">
      <c r="A22">
        <v>1</v>
      </c>
      <c r="B22">
        <v>39</v>
      </c>
      <c r="C22">
        <v>7</v>
      </c>
      <c r="L22" t="str">
        <f>VLOOKUP(B23,players!A:B,2)</f>
        <v>Matas Buzelis</v>
      </c>
    </row>
    <row r="23" spans="1:12" x14ac:dyDescent="0.25">
      <c r="A23">
        <v>1</v>
      </c>
      <c r="B23">
        <v>78</v>
      </c>
      <c r="C23">
        <v>8</v>
      </c>
      <c r="D23">
        <v>4200000</v>
      </c>
      <c r="F23">
        <v>4500000</v>
      </c>
      <c r="G23" t="s">
        <v>739</v>
      </c>
      <c r="L23" t="str">
        <f>VLOOKUP(B24,players!A:B,2)</f>
        <v>Anthony Edwards</v>
      </c>
    </row>
    <row r="24" spans="1:12" x14ac:dyDescent="0.25">
      <c r="A24">
        <v>1</v>
      </c>
      <c r="B24">
        <v>128</v>
      </c>
      <c r="C24">
        <v>9</v>
      </c>
      <c r="D24">
        <v>40000000</v>
      </c>
      <c r="F24">
        <v>40000000</v>
      </c>
      <c r="H24">
        <v>40000000</v>
      </c>
      <c r="L24" t="str">
        <f>VLOOKUP(B25,players!A:B,2)</f>
        <v>Tyrese Maxey</v>
      </c>
    </row>
    <row r="25" spans="1:12" x14ac:dyDescent="0.25">
      <c r="A25">
        <v>1</v>
      </c>
      <c r="B25">
        <v>176</v>
      </c>
      <c r="C25">
        <v>10</v>
      </c>
      <c r="D25">
        <v>30500000</v>
      </c>
      <c r="F25">
        <v>30500000</v>
      </c>
      <c r="H25">
        <v>30500000</v>
      </c>
      <c r="L25" t="str">
        <f>VLOOKUP(B26,players!A:B,2)</f>
        <v>Donte DiVincenzo</v>
      </c>
    </row>
    <row r="26" spans="1:12" x14ac:dyDescent="0.25">
      <c r="A26">
        <v>1</v>
      </c>
      <c r="B26">
        <v>181</v>
      </c>
      <c r="C26">
        <v>11</v>
      </c>
      <c r="D26">
        <v>1000000</v>
      </c>
      <c r="L26" t="str">
        <f>VLOOKUP(B27,players!A:B,2)</f>
        <v>Mikal Bridges</v>
      </c>
    </row>
    <row r="27" spans="1:12" x14ac:dyDescent="0.25">
      <c r="A27">
        <v>1</v>
      </c>
      <c r="B27">
        <v>205</v>
      </c>
      <c r="C27">
        <v>12</v>
      </c>
      <c r="D27">
        <v>7000000</v>
      </c>
      <c r="L27" t="str">
        <f>VLOOKUP(B28,players!A:B,2)</f>
        <v>Jay Huff</v>
      </c>
    </row>
    <row r="28" spans="1:12" x14ac:dyDescent="0.25">
      <c r="A28">
        <v>1</v>
      </c>
      <c r="B28">
        <v>187</v>
      </c>
      <c r="C28">
        <v>13</v>
      </c>
      <c r="L28" t="str">
        <f>VLOOKUP(B29,players!A:B,2)</f>
        <v>Dailyn Swain</v>
      </c>
    </row>
    <row r="29" spans="1:12" x14ac:dyDescent="0.25">
      <c r="A29">
        <v>1</v>
      </c>
      <c r="B29">
        <v>432</v>
      </c>
      <c r="C29">
        <v>14</v>
      </c>
      <c r="D29">
        <v>1000000</v>
      </c>
      <c r="F29">
        <v>1000000</v>
      </c>
      <c r="H29">
        <v>1000000</v>
      </c>
      <c r="I29" t="s">
        <v>739</v>
      </c>
      <c r="J29">
        <v>1000000</v>
      </c>
      <c r="K29" t="s">
        <v>739</v>
      </c>
      <c r="L29" t="str">
        <f>VLOOKUP(B30,players!A:B,2)</f>
        <v>Karim López</v>
      </c>
    </row>
    <row r="30" spans="1:12" x14ac:dyDescent="0.25">
      <c r="A30">
        <v>1</v>
      </c>
      <c r="B30">
        <v>439</v>
      </c>
      <c r="C30">
        <v>15</v>
      </c>
      <c r="D30">
        <v>1000000</v>
      </c>
      <c r="F30">
        <v>1000000</v>
      </c>
      <c r="H30">
        <v>1000000</v>
      </c>
      <c r="I30" t="s">
        <v>739</v>
      </c>
      <c r="J30">
        <v>1000000</v>
      </c>
      <c r="K30" t="s">
        <v>739</v>
      </c>
      <c r="L30" t="str">
        <f>VLOOKUP(B31,players!A:B,2)</f>
        <v>Cameron Boozer</v>
      </c>
    </row>
    <row r="31" spans="1:12" x14ac:dyDescent="0.25">
      <c r="A31">
        <v>6</v>
      </c>
      <c r="B31">
        <v>419</v>
      </c>
      <c r="C31">
        <v>14</v>
      </c>
      <c r="D31">
        <v>7000000</v>
      </c>
      <c r="F31">
        <v>7500000</v>
      </c>
      <c r="H31">
        <v>8250000</v>
      </c>
      <c r="I31" t="s">
        <v>739</v>
      </c>
      <c r="J31">
        <v>9000000</v>
      </c>
      <c r="K31" t="s">
        <v>739</v>
      </c>
      <c r="L31" t="str">
        <f>VLOOKUP(B32,players!A:B,2)</f>
        <v>Hannes Steinbach</v>
      </c>
    </row>
    <row r="32" spans="1:12" x14ac:dyDescent="0.25">
      <c r="A32">
        <v>1</v>
      </c>
      <c r="B32">
        <v>424</v>
      </c>
      <c r="C32">
        <v>15</v>
      </c>
      <c r="D32">
        <v>3800000</v>
      </c>
      <c r="F32">
        <v>4000000</v>
      </c>
      <c r="H32">
        <v>4200000</v>
      </c>
      <c r="I32" t="s">
        <v>739</v>
      </c>
      <c r="J32">
        <v>4500000</v>
      </c>
      <c r="K32" t="s">
        <v>739</v>
      </c>
      <c r="L32" t="str">
        <f>VLOOKUP(B33,players!A:B,2)</f>
        <v>Keaton Wagler</v>
      </c>
    </row>
    <row r="33" spans="1:12" x14ac:dyDescent="0.25">
      <c r="A33">
        <v>1</v>
      </c>
      <c r="B33">
        <v>425</v>
      </c>
      <c r="C33">
        <v>16</v>
      </c>
      <c r="D33">
        <v>3600000</v>
      </c>
      <c r="F33">
        <v>3800000</v>
      </c>
      <c r="H33">
        <v>4000000</v>
      </c>
      <c r="I33" t="s">
        <v>739</v>
      </c>
      <c r="J33">
        <v>4300000</v>
      </c>
      <c r="K33" t="s">
        <v>739</v>
      </c>
      <c r="L33" t="str">
        <f>VLOOKUP(B34,players!A:B,2)</f>
        <v>Cam Spencer</v>
      </c>
    </row>
    <row r="34" spans="1:12" x14ac:dyDescent="0.25">
      <c r="A34">
        <v>2</v>
      </c>
      <c r="B34">
        <v>320</v>
      </c>
      <c r="C34">
        <v>1</v>
      </c>
      <c r="D34">
        <v>1000000</v>
      </c>
      <c r="F34">
        <v>1000000</v>
      </c>
      <c r="G34" t="s">
        <v>739</v>
      </c>
      <c r="L34" t="str">
        <f>VLOOKUP(B35,players!A:B,2)</f>
        <v>Alperen Şengün</v>
      </c>
    </row>
    <row r="35" spans="1:12" x14ac:dyDescent="0.25">
      <c r="A35">
        <v>2</v>
      </c>
      <c r="B35">
        <v>21</v>
      </c>
      <c r="C35">
        <v>2</v>
      </c>
      <c r="D35">
        <v>23500000</v>
      </c>
      <c r="F35">
        <v>23500000</v>
      </c>
      <c r="H35">
        <v>23500000</v>
      </c>
      <c r="L35" t="str">
        <f>VLOOKUP(B36,players!A:B,2)</f>
        <v>Kevin Durant</v>
      </c>
    </row>
    <row r="36" spans="1:12" x14ac:dyDescent="0.25">
      <c r="A36">
        <v>2</v>
      </c>
      <c r="B36">
        <v>96</v>
      </c>
      <c r="C36">
        <v>3</v>
      </c>
      <c r="D36">
        <v>15000000</v>
      </c>
      <c r="L36" t="str">
        <f>VLOOKUP(B37,players!A:B,2)</f>
        <v>Brandon Miller</v>
      </c>
    </row>
    <row r="37" spans="1:12" x14ac:dyDescent="0.25">
      <c r="A37">
        <v>2</v>
      </c>
      <c r="B37">
        <v>136</v>
      </c>
      <c r="C37">
        <v>4</v>
      </c>
      <c r="D37">
        <v>9000000</v>
      </c>
      <c r="L37" t="str">
        <f>VLOOKUP(B38,players!A:B,2)</f>
        <v>Jalen Green</v>
      </c>
    </row>
    <row r="38" spans="1:12" x14ac:dyDescent="0.25">
      <c r="A38">
        <v>2</v>
      </c>
      <c r="B38">
        <v>219</v>
      </c>
      <c r="C38">
        <v>5</v>
      </c>
      <c r="D38">
        <v>7000000</v>
      </c>
      <c r="F38">
        <v>7000000</v>
      </c>
      <c r="H38">
        <v>7000000</v>
      </c>
      <c r="L38" t="str">
        <f>VLOOKUP(B39,players!A:B,2)</f>
        <v>Tyler Herro</v>
      </c>
    </row>
    <row r="39" spans="1:12" x14ac:dyDescent="0.25">
      <c r="A39">
        <v>2</v>
      </c>
      <c r="B39">
        <v>144</v>
      </c>
      <c r="C39">
        <v>6</v>
      </c>
      <c r="D39">
        <v>6000000</v>
      </c>
      <c r="F39">
        <v>6000000</v>
      </c>
      <c r="L39" t="str">
        <f>VLOOKUP(B40,players!A:B,2)</f>
        <v>Trae Young</v>
      </c>
    </row>
    <row r="40" spans="1:12" x14ac:dyDescent="0.25">
      <c r="A40">
        <v>2</v>
      </c>
      <c r="B40">
        <v>362</v>
      </c>
      <c r="C40">
        <v>7</v>
      </c>
      <c r="D40">
        <v>21500000</v>
      </c>
      <c r="F40">
        <v>21500000</v>
      </c>
      <c r="H40">
        <v>21500000</v>
      </c>
      <c r="L40" t="str">
        <f>VLOOKUP(B41,players!A:B,2)</f>
        <v>Russell Westbrook</v>
      </c>
    </row>
    <row r="41" spans="1:12" x14ac:dyDescent="0.25">
      <c r="A41">
        <v>2</v>
      </c>
      <c r="B41">
        <v>103</v>
      </c>
      <c r="C41">
        <v>8</v>
      </c>
      <c r="L41" t="str">
        <f>VLOOKUP(B42,players!A:B,2)</f>
        <v>Bobby Portis</v>
      </c>
    </row>
    <row r="42" spans="1:12" x14ac:dyDescent="0.25">
      <c r="A42">
        <v>2</v>
      </c>
      <c r="B42">
        <v>69</v>
      </c>
      <c r="C42">
        <v>10</v>
      </c>
      <c r="D42">
        <v>3100000</v>
      </c>
      <c r="F42">
        <v>3100000</v>
      </c>
      <c r="H42">
        <v>3100000</v>
      </c>
      <c r="L42" t="str">
        <f>VLOOKUP(B43,players!A:B,2)</f>
        <v>Derik Queen</v>
      </c>
    </row>
    <row r="43" spans="1:12" x14ac:dyDescent="0.25">
      <c r="A43">
        <v>2</v>
      </c>
      <c r="B43">
        <v>49</v>
      </c>
      <c r="C43">
        <v>11</v>
      </c>
      <c r="D43">
        <v>3200000</v>
      </c>
      <c r="F43">
        <v>3400000</v>
      </c>
      <c r="G43" t="s">
        <v>739</v>
      </c>
      <c r="H43">
        <v>3700000</v>
      </c>
      <c r="I43" t="s">
        <v>739</v>
      </c>
      <c r="L43" t="str">
        <f>VLOOKUP(B44,players!A:B,2)</f>
        <v>Immanuel Quickley</v>
      </c>
    </row>
    <row r="44" spans="1:12" x14ac:dyDescent="0.25">
      <c r="A44">
        <v>3</v>
      </c>
      <c r="B44">
        <v>184</v>
      </c>
      <c r="C44">
        <v>1</v>
      </c>
      <c r="D44">
        <v>8000000</v>
      </c>
      <c r="F44">
        <v>8000000</v>
      </c>
      <c r="L44" t="str">
        <f>VLOOKUP(B45,players!A:B,2)</f>
        <v>Nickeil Alexander-Walker</v>
      </c>
    </row>
    <row r="45" spans="1:12" x14ac:dyDescent="0.25">
      <c r="A45">
        <v>3</v>
      </c>
      <c r="B45">
        <v>237</v>
      </c>
      <c r="C45">
        <v>2</v>
      </c>
      <c r="L45" t="str">
        <f>VLOOKUP(B46,players!A:B,2)</f>
        <v>Kyshawn George</v>
      </c>
    </row>
    <row r="46" spans="1:12" x14ac:dyDescent="0.25">
      <c r="A46">
        <v>3</v>
      </c>
      <c r="B46">
        <v>119</v>
      </c>
      <c r="C46">
        <v>3</v>
      </c>
      <c r="L46" t="str">
        <f>VLOOKUP(B47,players!A:B,2)</f>
        <v>Cameron Johnson</v>
      </c>
    </row>
    <row r="47" spans="1:12" x14ac:dyDescent="0.25">
      <c r="A47">
        <v>3</v>
      </c>
      <c r="B47">
        <v>206</v>
      </c>
      <c r="C47">
        <v>4</v>
      </c>
      <c r="D47">
        <v>5000000</v>
      </c>
      <c r="L47" t="str">
        <f>VLOOKUP(B48,players!A:B,2)</f>
        <v>Myles Turner</v>
      </c>
    </row>
    <row r="48" spans="1:12" x14ac:dyDescent="0.25">
      <c r="A48">
        <v>3</v>
      </c>
      <c r="B48">
        <v>112</v>
      </c>
      <c r="C48">
        <v>5</v>
      </c>
      <c r="L48" t="str">
        <f>VLOOKUP(B49,players!A:B,2)</f>
        <v>Mitchell Robinson</v>
      </c>
    </row>
    <row r="49" spans="1:12" x14ac:dyDescent="0.25">
      <c r="A49">
        <v>3</v>
      </c>
      <c r="B49">
        <v>23</v>
      </c>
      <c r="C49">
        <v>6</v>
      </c>
      <c r="L49" t="str">
        <f>VLOOKUP(B50,players!A:B,2)</f>
        <v>Jalen Duren</v>
      </c>
    </row>
    <row r="50" spans="1:12" x14ac:dyDescent="0.25">
      <c r="A50">
        <v>3</v>
      </c>
      <c r="B50">
        <v>11</v>
      </c>
      <c r="C50">
        <v>7</v>
      </c>
      <c r="L50" t="str">
        <f>VLOOKUP(B51,players!A:B,2)</f>
        <v>Luka Dončić</v>
      </c>
    </row>
    <row r="51" spans="1:12" x14ac:dyDescent="0.25">
      <c r="A51">
        <v>3</v>
      </c>
      <c r="B51">
        <v>36</v>
      </c>
      <c r="C51">
        <v>8</v>
      </c>
      <c r="D51">
        <v>40000000</v>
      </c>
      <c r="F51">
        <v>40000000</v>
      </c>
      <c r="H51">
        <v>40000000</v>
      </c>
      <c r="L51" t="str">
        <f>VLOOKUP(B52,players!A:B,2)</f>
        <v>Kawhi Leonard</v>
      </c>
    </row>
    <row r="52" spans="1:12" x14ac:dyDescent="0.25">
      <c r="A52">
        <v>3</v>
      </c>
      <c r="B52">
        <v>68</v>
      </c>
      <c r="C52">
        <v>9</v>
      </c>
      <c r="D52">
        <v>6000000</v>
      </c>
      <c r="L52" t="str">
        <f>VLOOKUP(B53,players!A:B,2)</f>
        <v>Jaren Jackson Jr.</v>
      </c>
    </row>
    <row r="53" spans="1:12" x14ac:dyDescent="0.25">
      <c r="A53">
        <v>3</v>
      </c>
      <c r="B53">
        <v>85</v>
      </c>
      <c r="C53">
        <v>10</v>
      </c>
      <c r="D53">
        <v>14000000</v>
      </c>
      <c r="F53">
        <v>14000000</v>
      </c>
      <c r="L53" t="str">
        <f>VLOOKUP(B54,players!A:B,2)</f>
        <v>OG Anunoby</v>
      </c>
    </row>
    <row r="54" spans="1:12" x14ac:dyDescent="0.25">
      <c r="A54">
        <v>3</v>
      </c>
      <c r="B54">
        <v>117</v>
      </c>
      <c r="C54">
        <v>11</v>
      </c>
      <c r="D54">
        <v>6500000</v>
      </c>
      <c r="F54">
        <v>6500000</v>
      </c>
      <c r="H54">
        <v>6500000</v>
      </c>
      <c r="L54" t="str">
        <f>VLOOKUP(B55,players!A:B,2)</f>
        <v>Kyrie Irving</v>
      </c>
    </row>
    <row r="55" spans="1:12" x14ac:dyDescent="0.25">
      <c r="A55">
        <v>3</v>
      </c>
      <c r="B55">
        <v>142</v>
      </c>
      <c r="C55">
        <v>12</v>
      </c>
      <c r="D55">
        <v>5000000</v>
      </c>
      <c r="L55" t="str">
        <f>VLOOKUP(B56,players!A:B,2)</f>
        <v>Zach LaVine</v>
      </c>
    </row>
    <row r="56" spans="1:12" x14ac:dyDescent="0.25">
      <c r="A56">
        <v>3</v>
      </c>
      <c r="B56">
        <v>295</v>
      </c>
      <c r="C56">
        <v>13</v>
      </c>
      <c r="D56">
        <v>8000000</v>
      </c>
      <c r="L56" t="str">
        <f>VLOOKUP(B57,players!A:B,2)</f>
        <v>Brayden Burries</v>
      </c>
    </row>
    <row r="57" spans="1:12" x14ac:dyDescent="0.25">
      <c r="A57">
        <v>3</v>
      </c>
      <c r="B57">
        <v>427</v>
      </c>
      <c r="C57">
        <v>14</v>
      </c>
      <c r="D57">
        <v>3200000</v>
      </c>
      <c r="F57">
        <v>3400000</v>
      </c>
      <c r="H57">
        <v>3600000</v>
      </c>
      <c r="I57" t="s">
        <v>739</v>
      </c>
      <c r="J57">
        <v>3900000</v>
      </c>
      <c r="K57" t="s">
        <v>739</v>
      </c>
      <c r="L57" t="str">
        <f>VLOOKUP(B58,players!A:B,2)</f>
        <v>Nolan Traoré</v>
      </c>
    </row>
    <row r="58" spans="1:12" x14ac:dyDescent="0.25">
      <c r="A58">
        <v>4</v>
      </c>
      <c r="B58">
        <v>379</v>
      </c>
      <c r="C58">
        <v>1</v>
      </c>
      <c r="D58">
        <v>1000000</v>
      </c>
      <c r="F58">
        <v>1000000</v>
      </c>
      <c r="G58" t="s">
        <v>739</v>
      </c>
      <c r="H58">
        <v>1000000</v>
      </c>
      <c r="I58" t="s">
        <v>739</v>
      </c>
      <c r="L58" t="str">
        <f>VLOOKUP(B59,players!A:B,2)</f>
        <v>Jared McCain</v>
      </c>
    </row>
    <row r="59" spans="1:12" x14ac:dyDescent="0.25">
      <c r="A59">
        <v>4</v>
      </c>
      <c r="B59">
        <v>364</v>
      </c>
      <c r="C59">
        <v>2</v>
      </c>
      <c r="D59">
        <v>1000000</v>
      </c>
      <c r="F59">
        <v>1000000</v>
      </c>
      <c r="G59" t="s">
        <v>739</v>
      </c>
      <c r="L59" t="str">
        <f>VLOOKUP(B60,players!A:B,2)</f>
        <v>Keldon Johnson</v>
      </c>
    </row>
    <row r="60" spans="1:12" x14ac:dyDescent="0.25">
      <c r="A60">
        <v>4</v>
      </c>
      <c r="B60">
        <v>104</v>
      </c>
      <c r="C60">
        <v>3</v>
      </c>
      <c r="L60" t="str">
        <f>VLOOKUP(B61,players!A:B,2)</f>
        <v>Santi Aldama</v>
      </c>
    </row>
    <row r="61" spans="1:12" x14ac:dyDescent="0.25">
      <c r="A61">
        <v>4</v>
      </c>
      <c r="B61">
        <v>62</v>
      </c>
      <c r="C61">
        <v>4</v>
      </c>
      <c r="D61">
        <v>2500000</v>
      </c>
      <c r="L61" t="str">
        <f>VLOOKUP(B62,players!A:B,2)</f>
        <v>Deandre Ayton</v>
      </c>
    </row>
    <row r="62" spans="1:12" x14ac:dyDescent="0.25">
      <c r="A62">
        <v>4</v>
      </c>
      <c r="B62">
        <v>33</v>
      </c>
      <c r="C62">
        <v>5</v>
      </c>
      <c r="D62">
        <v>11000000</v>
      </c>
      <c r="L62" t="str">
        <f>VLOOKUP(B63,players!A:B,2)</f>
        <v>Nic Claxton</v>
      </c>
    </row>
    <row r="63" spans="1:12" x14ac:dyDescent="0.25">
      <c r="A63">
        <v>4</v>
      </c>
      <c r="B63">
        <v>57</v>
      </c>
      <c r="C63">
        <v>6</v>
      </c>
      <c r="D63">
        <v>5000000</v>
      </c>
      <c r="F63">
        <v>5000000</v>
      </c>
      <c r="L63" t="str">
        <f>VLOOKUP(B64,players!A:B,2)</f>
        <v>Bam Adebayo</v>
      </c>
    </row>
    <row r="64" spans="1:12" x14ac:dyDescent="0.25">
      <c r="A64">
        <v>4</v>
      </c>
      <c r="B64">
        <v>16</v>
      </c>
      <c r="C64">
        <v>7</v>
      </c>
      <c r="D64">
        <v>17000000</v>
      </c>
      <c r="F64">
        <v>17000000</v>
      </c>
      <c r="L64" t="str">
        <f>VLOOKUP(B65,players!A:B,2)</f>
        <v>Jaylen Brown</v>
      </c>
    </row>
    <row r="65" spans="1:12" x14ac:dyDescent="0.25">
      <c r="A65">
        <v>4</v>
      </c>
      <c r="B65">
        <v>53</v>
      </c>
      <c r="C65">
        <v>8</v>
      </c>
      <c r="D65">
        <v>22500000</v>
      </c>
      <c r="L65" t="str">
        <f>VLOOKUP(B66,players!A:B,2)</f>
        <v>Stephon Castle</v>
      </c>
    </row>
    <row r="66" spans="1:12" x14ac:dyDescent="0.25">
      <c r="A66">
        <v>4</v>
      </c>
      <c r="B66">
        <v>110</v>
      </c>
      <c r="C66">
        <v>9</v>
      </c>
      <c r="D66">
        <v>5000000</v>
      </c>
      <c r="F66">
        <v>5500000</v>
      </c>
      <c r="G66" t="s">
        <v>739</v>
      </c>
      <c r="L66" t="str">
        <f>VLOOKUP(B67,players!A:B,2)</f>
        <v>Franz Wagner</v>
      </c>
    </row>
    <row r="67" spans="1:12" x14ac:dyDescent="0.25">
      <c r="A67">
        <v>4</v>
      </c>
      <c r="B67">
        <v>114</v>
      </c>
      <c r="C67">
        <v>10</v>
      </c>
      <c r="D67">
        <v>15000000</v>
      </c>
      <c r="F67">
        <v>15000000</v>
      </c>
      <c r="H67">
        <v>15000000</v>
      </c>
      <c r="L67" t="str">
        <f>VLOOKUP(B68,players!A:B,2)</f>
        <v>Donovan Mitchell</v>
      </c>
    </row>
    <row r="68" spans="1:12" x14ac:dyDescent="0.25">
      <c r="A68">
        <v>4</v>
      </c>
      <c r="B68">
        <v>157</v>
      </c>
      <c r="C68">
        <v>11</v>
      </c>
      <c r="D68">
        <v>19000000</v>
      </c>
      <c r="F68">
        <v>19000000</v>
      </c>
      <c r="H68">
        <v>19000000</v>
      </c>
      <c r="L68" t="str">
        <f>VLOOKUP(B69,players!A:B,2)</f>
        <v>DeMar DeRozan</v>
      </c>
    </row>
    <row r="69" spans="1:12" x14ac:dyDescent="0.25">
      <c r="A69">
        <v>4</v>
      </c>
      <c r="B69">
        <v>287</v>
      </c>
      <c r="C69">
        <v>12</v>
      </c>
      <c r="D69">
        <v>10000000</v>
      </c>
      <c r="L69" t="str">
        <f>VLOOKUP(B70,players!A:B,2)</f>
        <v>Kingston Flemings</v>
      </c>
    </row>
    <row r="70" spans="1:12" x14ac:dyDescent="0.25">
      <c r="A70">
        <v>4</v>
      </c>
      <c r="B70">
        <v>422</v>
      </c>
      <c r="C70">
        <v>13</v>
      </c>
      <c r="D70">
        <v>4500000</v>
      </c>
      <c r="F70">
        <v>5000000</v>
      </c>
      <c r="H70">
        <v>5500000</v>
      </c>
      <c r="I70" t="s">
        <v>739</v>
      </c>
      <c r="J70">
        <v>6000000</v>
      </c>
      <c r="K70" t="s">
        <v>739</v>
      </c>
      <c r="L70" t="str">
        <f>VLOOKUP(B71,players!A:B,2)</f>
        <v>Henry Veesaar</v>
      </c>
    </row>
    <row r="71" spans="1:12" x14ac:dyDescent="0.25">
      <c r="A71">
        <v>4</v>
      </c>
      <c r="B71">
        <v>438</v>
      </c>
      <c r="C71">
        <v>14</v>
      </c>
      <c r="D71">
        <v>1000000</v>
      </c>
      <c r="F71">
        <v>1000000</v>
      </c>
      <c r="H71">
        <v>1000000</v>
      </c>
      <c r="I71" t="s">
        <v>739</v>
      </c>
      <c r="J71">
        <v>1000000</v>
      </c>
      <c r="K71" t="s">
        <v>739</v>
      </c>
      <c r="L71" t="str">
        <f>VLOOKUP(B72,players!A:B,2)</f>
        <v>Dennis Schröder</v>
      </c>
    </row>
    <row r="72" spans="1:12" x14ac:dyDescent="0.25">
      <c r="A72">
        <v>5</v>
      </c>
      <c r="B72">
        <v>305</v>
      </c>
      <c r="C72">
        <v>1</v>
      </c>
      <c r="L72" t="str">
        <f>VLOOKUP(B73,players!A:B,2)</f>
        <v>Egor Dёmin</v>
      </c>
    </row>
    <row r="73" spans="1:12" x14ac:dyDescent="0.25">
      <c r="A73">
        <v>5</v>
      </c>
      <c r="B73">
        <v>262</v>
      </c>
      <c r="C73">
        <v>2</v>
      </c>
      <c r="D73">
        <v>3600000</v>
      </c>
      <c r="F73">
        <v>3800000</v>
      </c>
      <c r="G73" t="s">
        <v>739</v>
      </c>
      <c r="H73">
        <v>4100000</v>
      </c>
      <c r="I73" t="s">
        <v>739</v>
      </c>
      <c r="L73" t="str">
        <f>VLOOKUP(B74,players!A:B,2)</f>
        <v>Grayson Allen</v>
      </c>
    </row>
    <row r="74" spans="1:12" x14ac:dyDescent="0.25">
      <c r="A74">
        <v>5</v>
      </c>
      <c r="B74">
        <v>274</v>
      </c>
      <c r="C74">
        <v>3</v>
      </c>
      <c r="L74" t="str">
        <f>VLOOKUP(B75,players!A:B,2)</f>
        <v>James Harden</v>
      </c>
    </row>
    <row r="75" spans="1:12" x14ac:dyDescent="0.25">
      <c r="A75">
        <v>5</v>
      </c>
      <c r="B75">
        <v>143</v>
      </c>
      <c r="C75">
        <v>4</v>
      </c>
      <c r="D75">
        <v>21000000</v>
      </c>
      <c r="F75">
        <v>21000000</v>
      </c>
      <c r="L75" t="str">
        <f>VLOOKUP(B76,players!A:B,2)</f>
        <v>Isaiah Stewart</v>
      </c>
    </row>
    <row r="76" spans="1:12" x14ac:dyDescent="0.25">
      <c r="A76">
        <v>5</v>
      </c>
      <c r="B76">
        <v>131</v>
      </c>
      <c r="C76">
        <v>5</v>
      </c>
      <c r="L76" t="str">
        <f>VLOOKUP(B77,players!A:B,2)</f>
        <v>Danny Wolf</v>
      </c>
    </row>
    <row r="77" spans="1:12" x14ac:dyDescent="0.25">
      <c r="A77">
        <v>5</v>
      </c>
      <c r="B77">
        <v>139</v>
      </c>
      <c r="C77">
        <v>6</v>
      </c>
      <c r="D77">
        <v>1000000</v>
      </c>
      <c r="F77">
        <v>1000000</v>
      </c>
      <c r="G77" t="s">
        <v>739</v>
      </c>
      <c r="H77">
        <v>1000000</v>
      </c>
      <c r="I77" t="s">
        <v>739</v>
      </c>
      <c r="L77" t="str">
        <f>VLOOKUP(B78,players!A:B,2)</f>
        <v>Joel Embiid</v>
      </c>
    </row>
    <row r="78" spans="1:12" x14ac:dyDescent="0.25">
      <c r="A78">
        <v>5</v>
      </c>
      <c r="B78">
        <v>37</v>
      </c>
      <c r="C78">
        <v>7</v>
      </c>
      <c r="D78">
        <v>17000000</v>
      </c>
      <c r="F78">
        <v>17000000</v>
      </c>
      <c r="L78" t="str">
        <f>VLOOKUP(B79,players!A:B,2)</f>
        <v>Giannis Antetokounmpo</v>
      </c>
    </row>
    <row r="79" spans="1:12" x14ac:dyDescent="0.25">
      <c r="A79">
        <v>5</v>
      </c>
      <c r="B79">
        <v>17</v>
      </c>
      <c r="C79">
        <v>8</v>
      </c>
      <c r="D79">
        <v>40000000</v>
      </c>
      <c r="F79">
        <v>40000000</v>
      </c>
      <c r="H79">
        <v>40000000</v>
      </c>
      <c r="L79" t="str">
        <f>VLOOKUP(B80,players!A:B,2)</f>
        <v>Naz Reid</v>
      </c>
    </row>
    <row r="80" spans="1:12" x14ac:dyDescent="0.25">
      <c r="A80">
        <v>5</v>
      </c>
      <c r="B80">
        <v>72</v>
      </c>
      <c r="C80">
        <v>9</v>
      </c>
      <c r="D80">
        <v>3100000</v>
      </c>
      <c r="F80">
        <v>3100000</v>
      </c>
      <c r="L80" t="str">
        <f>VLOOKUP(B81,players!A:B,2)</f>
        <v>Jerami Grant</v>
      </c>
    </row>
    <row r="81" spans="1:12" x14ac:dyDescent="0.25">
      <c r="A81">
        <v>5</v>
      </c>
      <c r="B81">
        <v>227</v>
      </c>
      <c r="C81">
        <v>10</v>
      </c>
      <c r="L81" t="str">
        <f>VLOOKUP(B82,players!A:B,2)</f>
        <v>Michael Porter Jr.</v>
      </c>
    </row>
    <row r="82" spans="1:12" x14ac:dyDescent="0.25">
      <c r="A82">
        <v>5</v>
      </c>
      <c r="B82">
        <v>48</v>
      </c>
      <c r="C82">
        <v>11</v>
      </c>
      <c r="L82" t="str">
        <f>VLOOKUP(B83,players!A:B,2)</f>
        <v>Royce O'Neale</v>
      </c>
    </row>
    <row r="83" spans="1:12" x14ac:dyDescent="0.25">
      <c r="A83">
        <v>5</v>
      </c>
      <c r="B83">
        <v>148</v>
      </c>
      <c r="C83">
        <v>12</v>
      </c>
      <c r="L83" t="str">
        <f>VLOOKUP(B84,players!A:B,2)</f>
        <v>Ryan Rollins</v>
      </c>
    </row>
    <row r="84" spans="1:12" x14ac:dyDescent="0.25">
      <c r="A84">
        <v>5</v>
      </c>
      <c r="B84">
        <v>152</v>
      </c>
      <c r="C84">
        <v>12</v>
      </c>
      <c r="L84" t="str">
        <f>VLOOKUP(B85,players!A:B,2)</f>
        <v>Caleb Wilson</v>
      </c>
    </row>
    <row r="85" spans="1:12" x14ac:dyDescent="0.25">
      <c r="A85">
        <v>5</v>
      </c>
      <c r="B85">
        <v>418</v>
      </c>
      <c r="C85">
        <v>13</v>
      </c>
      <c r="D85">
        <v>8000000</v>
      </c>
      <c r="F85">
        <v>8500000</v>
      </c>
      <c r="H85">
        <v>9250000</v>
      </c>
      <c r="I85" t="s">
        <v>739</v>
      </c>
      <c r="J85">
        <v>10000000</v>
      </c>
      <c r="K85" t="s">
        <v>739</v>
      </c>
      <c r="L85" t="str">
        <f>VLOOKUP(B86,players!A:B,2)</f>
        <v>Yaxel Lendeborg</v>
      </c>
    </row>
    <row r="86" spans="1:12" x14ac:dyDescent="0.25">
      <c r="A86">
        <v>5</v>
      </c>
      <c r="B86">
        <v>429</v>
      </c>
      <c r="C86">
        <v>14</v>
      </c>
      <c r="D86">
        <v>2800000</v>
      </c>
      <c r="F86">
        <v>3000000</v>
      </c>
      <c r="H86">
        <v>3200000</v>
      </c>
      <c r="I86" t="s">
        <v>739</v>
      </c>
      <c r="J86">
        <v>3500000</v>
      </c>
      <c r="K86" t="s">
        <v>739</v>
      </c>
      <c r="L86" t="str">
        <f>VLOOKUP(B87,players!A:B,2)</f>
        <v>Derrick White</v>
      </c>
    </row>
    <row r="87" spans="1:12" x14ac:dyDescent="0.25">
      <c r="A87">
        <v>6</v>
      </c>
      <c r="B87">
        <v>162</v>
      </c>
      <c r="C87">
        <v>1</v>
      </c>
      <c r="D87">
        <v>6000000</v>
      </c>
      <c r="F87">
        <v>6000000</v>
      </c>
      <c r="L87" t="str">
        <f>VLOOKUP(B88,players!A:B,2)</f>
        <v>D'Angelo Russell</v>
      </c>
    </row>
    <row r="88" spans="1:12" x14ac:dyDescent="0.25">
      <c r="A88">
        <v>6</v>
      </c>
      <c r="B88">
        <v>338</v>
      </c>
      <c r="C88">
        <v>2</v>
      </c>
      <c r="D88">
        <v>1000000</v>
      </c>
      <c r="L88" t="str">
        <f>VLOOKUP(B89,players!A:B,2)</f>
        <v>Josh Hart</v>
      </c>
    </row>
    <row r="89" spans="1:12" x14ac:dyDescent="0.25">
      <c r="A89">
        <v>6</v>
      </c>
      <c r="B89">
        <v>45</v>
      </c>
      <c r="C89">
        <v>3</v>
      </c>
      <c r="L89" t="str">
        <f>VLOOKUP(B90,players!A:B,2)</f>
        <v>Tobias Harris</v>
      </c>
    </row>
    <row r="90" spans="1:12" x14ac:dyDescent="0.25">
      <c r="A90">
        <v>6</v>
      </c>
      <c r="B90">
        <v>122</v>
      </c>
      <c r="C90">
        <v>4</v>
      </c>
      <c r="L90" t="str">
        <f>VLOOKUP(B91,players!A:B,2)</f>
        <v>Draymond Green</v>
      </c>
    </row>
    <row r="91" spans="1:12" x14ac:dyDescent="0.25">
      <c r="A91">
        <v>6</v>
      </c>
      <c r="B91">
        <v>98</v>
      </c>
      <c r="C91">
        <v>5</v>
      </c>
      <c r="L91" t="str">
        <f>VLOOKUP(B92,players!A:B,2)</f>
        <v>Jusuf Nurkić</v>
      </c>
    </row>
    <row r="92" spans="1:12" x14ac:dyDescent="0.25">
      <c r="A92">
        <v>6</v>
      </c>
      <c r="B92">
        <v>13</v>
      </c>
      <c r="C92">
        <v>6</v>
      </c>
      <c r="L92" t="str">
        <f>VLOOKUP(B93,players!A:B,2)</f>
        <v>Nikola Jokić</v>
      </c>
    </row>
    <row r="93" spans="1:12" x14ac:dyDescent="0.25">
      <c r="A93">
        <v>6</v>
      </c>
      <c r="B93">
        <v>1</v>
      </c>
      <c r="C93">
        <v>7</v>
      </c>
      <c r="D93">
        <v>20000000</v>
      </c>
      <c r="L93" t="str">
        <f>VLOOKUP(B94,players!A:B,2)</f>
        <v>Paolo Banchero</v>
      </c>
    </row>
    <row r="94" spans="1:12" x14ac:dyDescent="0.25">
      <c r="A94">
        <v>6</v>
      </c>
      <c r="B94">
        <v>27</v>
      </c>
      <c r="C94">
        <v>8</v>
      </c>
      <c r="L94" t="str">
        <f>VLOOKUP(B95,players!A:B,2)</f>
        <v>Miles Bridges</v>
      </c>
    </row>
    <row r="95" spans="1:12" x14ac:dyDescent="0.25">
      <c r="A95">
        <v>6</v>
      </c>
      <c r="B95">
        <v>77</v>
      </c>
      <c r="C95">
        <v>9</v>
      </c>
      <c r="D95">
        <v>7000000</v>
      </c>
      <c r="L95" t="str">
        <f>VLOOKUP(B96,players!A:B,2)</f>
        <v>Cade Cunningham</v>
      </c>
    </row>
    <row r="96" spans="1:12" x14ac:dyDescent="0.25">
      <c r="A96">
        <v>6</v>
      </c>
      <c r="B96">
        <v>97</v>
      </c>
      <c r="C96">
        <v>10</v>
      </c>
      <c r="D96">
        <v>35000000</v>
      </c>
      <c r="F96">
        <v>35000000</v>
      </c>
      <c r="L96" t="str">
        <f>VLOOKUP(B97,players!A:B,2)</f>
        <v>Jabari Smith Jr.</v>
      </c>
    </row>
    <row r="97" spans="1:12" x14ac:dyDescent="0.25">
      <c r="A97">
        <v>6</v>
      </c>
      <c r="B97">
        <v>56</v>
      </c>
      <c r="C97">
        <v>11</v>
      </c>
      <c r="D97">
        <v>3100000</v>
      </c>
      <c r="F97">
        <v>3100000</v>
      </c>
      <c r="L97" t="str">
        <f>VLOOKUP(B98,players!A:B,2)</f>
        <v>Keyonte George</v>
      </c>
    </row>
    <row r="98" spans="1:12" x14ac:dyDescent="0.25">
      <c r="A98">
        <v>6</v>
      </c>
      <c r="B98">
        <v>211</v>
      </c>
      <c r="C98">
        <v>12</v>
      </c>
      <c r="D98">
        <v>1000000</v>
      </c>
      <c r="L98" t="str">
        <f>VLOOKUP(B99,players!A:B,2)</f>
        <v>Damian Lillard</v>
      </c>
    </row>
    <row r="99" spans="1:12" x14ac:dyDescent="0.25">
      <c r="A99">
        <v>6</v>
      </c>
      <c r="B99">
        <v>161</v>
      </c>
      <c r="C99">
        <v>13</v>
      </c>
      <c r="L99" t="str">
        <f>VLOOKUP(B100,players!A:B,2)</f>
        <v>Tari Eason</v>
      </c>
    </row>
    <row r="100" spans="1:12" x14ac:dyDescent="0.25">
      <c r="A100">
        <v>6</v>
      </c>
      <c r="B100">
        <v>71</v>
      </c>
      <c r="C100">
        <v>15</v>
      </c>
      <c r="L100" t="str">
        <f>VLOOKUP(B102,players!A:B,2)</f>
        <v>Darryn Peterson</v>
      </c>
    </row>
    <row r="101" spans="1:12" x14ac:dyDescent="0.25">
      <c r="A101">
        <v>6</v>
      </c>
      <c r="B101">
        <v>444</v>
      </c>
      <c r="C101">
        <v>16</v>
      </c>
      <c r="D101">
        <v>1000000</v>
      </c>
      <c r="F101">
        <v>1000000</v>
      </c>
      <c r="H101">
        <v>1000000</v>
      </c>
      <c r="I101" t="s">
        <v>739</v>
      </c>
      <c r="J101">
        <v>1000000</v>
      </c>
      <c r="K101" t="s">
        <v>739</v>
      </c>
      <c r="L101" t="str">
        <f>VLOOKUP(B103,players!A:B,2)</f>
        <v>Bub Carrington</v>
      </c>
    </row>
    <row r="102" spans="1:12" x14ac:dyDescent="0.25">
      <c r="A102">
        <v>1</v>
      </c>
      <c r="B102">
        <v>420</v>
      </c>
      <c r="C102">
        <v>13</v>
      </c>
      <c r="D102">
        <v>6000000</v>
      </c>
      <c r="F102">
        <v>6500000</v>
      </c>
      <c r="H102">
        <v>7000000</v>
      </c>
      <c r="I102" t="s">
        <v>739</v>
      </c>
      <c r="J102">
        <v>7500000</v>
      </c>
      <c r="K102" t="s">
        <v>739</v>
      </c>
      <c r="L102" t="str">
        <f>VLOOKUP(B104,players!A:B,2)</f>
        <v>Jrue Holiday</v>
      </c>
    </row>
    <row r="103" spans="1:12" x14ac:dyDescent="0.25">
      <c r="A103">
        <v>8</v>
      </c>
      <c r="B103">
        <v>242</v>
      </c>
      <c r="C103">
        <v>1</v>
      </c>
      <c r="D103">
        <v>3800000</v>
      </c>
      <c r="F103">
        <v>4100000</v>
      </c>
      <c r="G103" t="s">
        <v>739</v>
      </c>
      <c r="L103" t="str">
        <f>VLOOKUP(B105,players!A:B,2)</f>
        <v>Cedric Coward</v>
      </c>
    </row>
    <row r="104" spans="1:12" x14ac:dyDescent="0.25">
      <c r="A104">
        <v>8</v>
      </c>
      <c r="B104">
        <v>154</v>
      </c>
      <c r="C104">
        <v>2</v>
      </c>
      <c r="L104" t="str">
        <f>VLOOKUP(B106,players!A:B,2)</f>
        <v>Aaron Gordon</v>
      </c>
    </row>
    <row r="105" spans="1:12" x14ac:dyDescent="0.25">
      <c r="A105">
        <v>8</v>
      </c>
      <c r="B105">
        <v>76</v>
      </c>
      <c r="C105">
        <v>3</v>
      </c>
      <c r="D105">
        <v>1000000</v>
      </c>
      <c r="F105">
        <v>1000000</v>
      </c>
      <c r="G105" t="s">
        <v>739</v>
      </c>
      <c r="H105">
        <v>1000000</v>
      </c>
      <c r="I105" t="s">
        <v>739</v>
      </c>
      <c r="L105" t="str">
        <f>VLOOKUP(B107,players!A:B,2)</f>
        <v>Kristaps Porziņģis</v>
      </c>
    </row>
    <row r="106" spans="1:12" x14ac:dyDescent="0.25">
      <c r="A106">
        <v>8</v>
      </c>
      <c r="B106">
        <v>79</v>
      </c>
      <c r="C106">
        <v>4</v>
      </c>
      <c r="D106">
        <v>2000000</v>
      </c>
      <c r="L106" t="str">
        <f>VLOOKUP(B108,players!A:B,2)</f>
        <v>Donovan Clingan</v>
      </c>
    </row>
    <row r="107" spans="1:12" x14ac:dyDescent="0.25">
      <c r="A107">
        <v>8</v>
      </c>
      <c r="B107">
        <v>116</v>
      </c>
      <c r="C107">
        <v>5</v>
      </c>
      <c r="D107">
        <v>6000000</v>
      </c>
      <c r="F107">
        <v>6000000</v>
      </c>
      <c r="H107">
        <v>6000000</v>
      </c>
      <c r="L107" t="str">
        <f>VLOOKUP(B109,players!A:B,2)</f>
        <v>Rudy Gobert</v>
      </c>
    </row>
    <row r="108" spans="1:12" x14ac:dyDescent="0.25">
      <c r="A108">
        <v>8</v>
      </c>
      <c r="B108">
        <v>3</v>
      </c>
      <c r="C108">
        <v>6</v>
      </c>
      <c r="D108">
        <v>7000000</v>
      </c>
      <c r="F108">
        <v>7500000</v>
      </c>
      <c r="G108" t="s">
        <v>739</v>
      </c>
      <c r="L108" t="str">
        <f>VLOOKUP(B110,players!A:B,2)</f>
        <v>Jalen Johnson</v>
      </c>
    </row>
    <row r="109" spans="1:12" x14ac:dyDescent="0.25">
      <c r="A109">
        <v>8</v>
      </c>
      <c r="B109">
        <v>5</v>
      </c>
      <c r="C109">
        <v>7</v>
      </c>
      <c r="D109">
        <v>4000000</v>
      </c>
      <c r="F109">
        <v>4000000</v>
      </c>
      <c r="L109" t="str">
        <f>VLOOKUP(B111,players!A:B,2)</f>
        <v>Trey Murphy III</v>
      </c>
    </row>
    <row r="110" spans="1:12" x14ac:dyDescent="0.25">
      <c r="A110">
        <v>8</v>
      </c>
      <c r="B110">
        <v>14</v>
      </c>
      <c r="C110">
        <v>8</v>
      </c>
      <c r="D110">
        <v>16000000</v>
      </c>
      <c r="F110">
        <v>16000000</v>
      </c>
      <c r="H110">
        <v>16000000</v>
      </c>
      <c r="L110" t="str">
        <f>VLOOKUP(B112,players!A:B,2)</f>
        <v>Zion Williamson</v>
      </c>
    </row>
    <row r="111" spans="1:12" x14ac:dyDescent="0.25">
      <c r="A111">
        <v>8</v>
      </c>
      <c r="B111">
        <v>83</v>
      </c>
      <c r="C111">
        <v>9</v>
      </c>
      <c r="D111">
        <v>9000000</v>
      </c>
      <c r="F111">
        <v>9000000</v>
      </c>
      <c r="L111" t="str">
        <f>VLOOKUP(B113,players!A:B,2)</f>
        <v>De'Aaron Fox</v>
      </c>
    </row>
    <row r="112" spans="1:12" x14ac:dyDescent="0.25">
      <c r="A112">
        <v>8</v>
      </c>
      <c r="B112">
        <v>84</v>
      </c>
      <c r="C112">
        <v>10</v>
      </c>
      <c r="D112">
        <v>16000000</v>
      </c>
      <c r="L112" t="str">
        <f>VLOOKUP(B114,players!A:B,2)</f>
        <v>Norman Powell</v>
      </c>
    </row>
    <row r="113" spans="1:12" x14ac:dyDescent="0.25">
      <c r="A113">
        <v>8</v>
      </c>
      <c r="B113">
        <v>203</v>
      </c>
      <c r="C113">
        <v>11</v>
      </c>
      <c r="D113">
        <v>19000000</v>
      </c>
      <c r="F113">
        <v>19000000</v>
      </c>
      <c r="H113">
        <v>19000000</v>
      </c>
      <c r="L113" t="str">
        <f>VLOOKUP(B115,players!A:B,2)</f>
        <v>Dyson Daniels</v>
      </c>
    </row>
    <row r="114" spans="1:12" x14ac:dyDescent="0.25">
      <c r="A114">
        <v>8</v>
      </c>
      <c r="B114">
        <v>225</v>
      </c>
      <c r="C114">
        <v>12</v>
      </c>
      <c r="L114" t="str">
        <f>VLOOKUP(B116,players!A:B,2)</f>
        <v>Collin Sexton</v>
      </c>
    </row>
    <row r="115" spans="1:12" x14ac:dyDescent="0.25">
      <c r="A115">
        <v>8</v>
      </c>
      <c r="B115">
        <v>59</v>
      </c>
      <c r="C115">
        <v>13</v>
      </c>
      <c r="L115" t="str">
        <f>VLOOKUP(B117,players!A:B,2)</f>
        <v>Aday Mara</v>
      </c>
    </row>
    <row r="116" spans="1:12" x14ac:dyDescent="0.25">
      <c r="A116">
        <v>8</v>
      </c>
      <c r="B116">
        <v>336</v>
      </c>
      <c r="C116">
        <v>14</v>
      </c>
      <c r="L116" t="str">
        <f>VLOOKUP(B118,players!A:B,2)</f>
        <v>Bennett Stirtz</v>
      </c>
    </row>
    <row r="117" spans="1:12" x14ac:dyDescent="0.25">
      <c r="A117">
        <v>8</v>
      </c>
      <c r="B117">
        <v>428</v>
      </c>
      <c r="C117">
        <v>15</v>
      </c>
      <c r="D117">
        <v>3000000</v>
      </c>
      <c r="F117">
        <v>3200000</v>
      </c>
      <c r="H117">
        <v>3400000</v>
      </c>
      <c r="I117" t="s">
        <v>739</v>
      </c>
      <c r="J117">
        <v>3700000</v>
      </c>
      <c r="K117" t="s">
        <v>739</v>
      </c>
      <c r="L117" t="str">
        <f>VLOOKUP(B119,players!A:B,2)</f>
        <v>Chris Cenac Jr.</v>
      </c>
    </row>
    <row r="118" spans="1:12" x14ac:dyDescent="0.25">
      <c r="A118">
        <v>8</v>
      </c>
      <c r="B118">
        <v>441</v>
      </c>
      <c r="C118">
        <v>16</v>
      </c>
      <c r="D118">
        <v>1000000</v>
      </c>
      <c r="F118">
        <v>1000000</v>
      </c>
      <c r="H118">
        <v>1000000</v>
      </c>
      <c r="I118" t="s">
        <v>739</v>
      </c>
      <c r="J118">
        <v>1000000</v>
      </c>
      <c r="K118" t="s">
        <v>739</v>
      </c>
      <c r="L118" t="str">
        <f>VLOOKUP(B120,players!A:B,2)</f>
        <v>Cam Thomas</v>
      </c>
    </row>
    <row r="119" spans="1:12" x14ac:dyDescent="0.25">
      <c r="A119">
        <v>8</v>
      </c>
      <c r="B119">
        <v>442</v>
      </c>
      <c r="C119">
        <v>17</v>
      </c>
      <c r="D119">
        <v>1000000</v>
      </c>
      <c r="F119">
        <v>1000000</v>
      </c>
      <c r="H119">
        <v>1000000</v>
      </c>
      <c r="I119" t="s">
        <v>739</v>
      </c>
      <c r="J119">
        <v>1000000</v>
      </c>
      <c r="K119" t="s">
        <v>739</v>
      </c>
      <c r="L119" t="str">
        <f>VLOOKUP(B121,players!A:B,2)</f>
        <v>Ayo Dosunmu</v>
      </c>
    </row>
    <row r="120" spans="1:12" x14ac:dyDescent="0.25">
      <c r="A120">
        <v>9</v>
      </c>
      <c r="B120">
        <v>384</v>
      </c>
      <c r="C120">
        <v>1</v>
      </c>
      <c r="D120">
        <v>3100000</v>
      </c>
      <c r="F120">
        <v>3100000</v>
      </c>
      <c r="H120">
        <v>3100000</v>
      </c>
      <c r="L120" t="str">
        <f>VLOOKUP(B122,players!A:B,2)</f>
        <v>Devin Vassell</v>
      </c>
    </row>
    <row r="121" spans="1:12" x14ac:dyDescent="0.25">
      <c r="A121">
        <v>9</v>
      </c>
      <c r="B121">
        <v>240</v>
      </c>
      <c r="C121">
        <v>2</v>
      </c>
      <c r="L121" t="str">
        <f>VLOOKUP(B123,players!A:B,2)</f>
        <v>Rui Hachimura</v>
      </c>
    </row>
    <row r="122" spans="1:12" x14ac:dyDescent="0.25">
      <c r="A122">
        <v>9</v>
      </c>
      <c r="B122">
        <v>186</v>
      </c>
      <c r="C122">
        <v>3</v>
      </c>
      <c r="D122">
        <v>4500000</v>
      </c>
      <c r="L122" t="str">
        <f>VLOOKUP(B124,players!A:B,2)</f>
        <v>Clint Capela</v>
      </c>
    </row>
    <row r="123" spans="1:12" x14ac:dyDescent="0.25">
      <c r="A123">
        <v>9</v>
      </c>
      <c r="B123">
        <v>251</v>
      </c>
      <c r="C123">
        <v>4</v>
      </c>
      <c r="L123" t="str">
        <f>VLOOKUP(B125,players!A:B,2)</f>
        <v>Jaden McDaniels</v>
      </c>
    </row>
    <row r="124" spans="1:12" x14ac:dyDescent="0.25">
      <c r="A124">
        <v>9</v>
      </c>
      <c r="B124">
        <v>416</v>
      </c>
      <c r="C124">
        <v>5</v>
      </c>
      <c r="L124" t="str">
        <f>VLOOKUP(B126,players!A:B,2)</f>
        <v>Jayson Tatum</v>
      </c>
    </row>
    <row r="125" spans="1:12" x14ac:dyDescent="0.25">
      <c r="A125">
        <v>9</v>
      </c>
      <c r="B125">
        <v>170</v>
      </c>
      <c r="C125">
        <v>6</v>
      </c>
      <c r="D125">
        <v>3100000</v>
      </c>
      <c r="F125">
        <v>3100000</v>
      </c>
      <c r="H125">
        <v>3100000</v>
      </c>
      <c r="L125" t="str">
        <f>VLOOKUP(B127,players!A:B,2)</f>
        <v>Jarrett Allen</v>
      </c>
    </row>
    <row r="126" spans="1:12" x14ac:dyDescent="0.25">
      <c r="A126">
        <v>9</v>
      </c>
      <c r="B126">
        <v>15</v>
      </c>
      <c r="C126">
        <v>7</v>
      </c>
      <c r="D126">
        <v>32000000</v>
      </c>
      <c r="F126">
        <v>32000000</v>
      </c>
      <c r="H126">
        <v>32000000</v>
      </c>
      <c r="L126" t="str">
        <f>VLOOKUP(B128,players!A:B,2)</f>
        <v>Brandon Ingram</v>
      </c>
    </row>
    <row r="127" spans="1:12" x14ac:dyDescent="0.25">
      <c r="A127">
        <v>9</v>
      </c>
      <c r="B127">
        <v>26</v>
      </c>
      <c r="C127">
        <v>8</v>
      </c>
      <c r="D127">
        <v>12500000</v>
      </c>
      <c r="F127">
        <v>12500000</v>
      </c>
      <c r="H127">
        <v>12500000</v>
      </c>
      <c r="L127" t="str">
        <f>VLOOKUP(B129,players!A:B,2)</f>
        <v>Shaedon Sharpe</v>
      </c>
    </row>
    <row r="128" spans="1:12" x14ac:dyDescent="0.25">
      <c r="A128">
        <v>9</v>
      </c>
      <c r="B128">
        <v>89</v>
      </c>
      <c r="C128">
        <v>9</v>
      </c>
      <c r="D128">
        <v>11500000</v>
      </c>
      <c r="L128" t="str">
        <f>VLOOKUP(B130,players!A:B,2)</f>
        <v>Stephen Curry</v>
      </c>
    </row>
    <row r="129" spans="1:12" x14ac:dyDescent="0.25">
      <c r="A129">
        <v>9</v>
      </c>
      <c r="B129">
        <v>167</v>
      </c>
      <c r="C129">
        <v>10</v>
      </c>
      <c r="D129">
        <v>3100000</v>
      </c>
      <c r="F129">
        <v>3100000</v>
      </c>
      <c r="H129">
        <v>3100000</v>
      </c>
      <c r="L129" t="str">
        <f>VLOOKUP(B131,players!A:B,2)</f>
        <v>Darius Garland</v>
      </c>
    </row>
    <row r="130" spans="1:12" x14ac:dyDescent="0.25">
      <c r="A130">
        <v>9</v>
      </c>
      <c r="B130">
        <v>217</v>
      </c>
      <c r="C130">
        <v>11</v>
      </c>
      <c r="D130">
        <v>25000000</v>
      </c>
      <c r="L130" t="str">
        <f>VLOOKUP(B132,players!A:B,2)</f>
        <v>Ebuka Okorie</v>
      </c>
    </row>
    <row r="131" spans="1:12" x14ac:dyDescent="0.25">
      <c r="A131">
        <v>9</v>
      </c>
      <c r="B131">
        <v>331</v>
      </c>
      <c r="C131">
        <v>12</v>
      </c>
      <c r="D131">
        <v>12000000</v>
      </c>
      <c r="F131">
        <v>12000000</v>
      </c>
      <c r="H131">
        <v>12000000</v>
      </c>
      <c r="L131" t="str">
        <f>VLOOKUP(B133,players!A:B,2)</f>
        <v>Walker Kessler</v>
      </c>
    </row>
    <row r="132" spans="1:12" x14ac:dyDescent="0.25">
      <c r="A132">
        <v>9</v>
      </c>
      <c r="B132">
        <v>433</v>
      </c>
      <c r="C132">
        <v>13</v>
      </c>
      <c r="D132">
        <v>1000000</v>
      </c>
      <c r="F132">
        <v>1000000</v>
      </c>
      <c r="H132">
        <v>1000000</v>
      </c>
      <c r="I132" t="s">
        <v>739</v>
      </c>
      <c r="J132">
        <v>1000000</v>
      </c>
      <c r="K132" t="s">
        <v>739</v>
      </c>
      <c r="L132" t="str">
        <f>VLOOKUP(B134,players!A:B,2)</f>
        <v>Malik Monk</v>
      </c>
    </row>
    <row r="133" spans="1:12" x14ac:dyDescent="0.25">
      <c r="A133">
        <v>10</v>
      </c>
      <c r="B133">
        <v>9</v>
      </c>
      <c r="C133">
        <v>1</v>
      </c>
      <c r="L133" t="str">
        <f>VLOOKUP(B135,players!A:B,2)</f>
        <v>Ajay Mitchell</v>
      </c>
    </row>
    <row r="134" spans="1:12" x14ac:dyDescent="0.25">
      <c r="A134">
        <v>10</v>
      </c>
      <c r="B134">
        <v>373</v>
      </c>
      <c r="C134">
        <v>2</v>
      </c>
      <c r="L134" t="str">
        <f>VLOOKUP(B136,players!A:B,2)</f>
        <v>Bilal Coulibaly</v>
      </c>
    </row>
    <row r="135" spans="1:12" x14ac:dyDescent="0.25">
      <c r="A135">
        <v>10</v>
      </c>
      <c r="B135">
        <v>249</v>
      </c>
      <c r="C135">
        <v>3</v>
      </c>
      <c r="L135" t="str">
        <f>VLOOKUP(B137,players!A:B,2)</f>
        <v>Mark Williams</v>
      </c>
    </row>
    <row r="136" spans="1:12" x14ac:dyDescent="0.25">
      <c r="A136">
        <v>10</v>
      </c>
      <c r="B136">
        <v>169</v>
      </c>
      <c r="C136">
        <v>4</v>
      </c>
      <c r="D136">
        <v>4100000</v>
      </c>
      <c r="L136" t="str">
        <f>VLOOKUP(B138,players!A:B,2)</f>
        <v>GG Jackson II</v>
      </c>
    </row>
    <row r="137" spans="1:12" x14ac:dyDescent="0.25">
      <c r="A137">
        <v>10</v>
      </c>
      <c r="B137">
        <v>34</v>
      </c>
      <c r="C137">
        <v>5</v>
      </c>
      <c r="D137">
        <v>6000000</v>
      </c>
      <c r="F137">
        <v>6000000</v>
      </c>
      <c r="L137" t="str">
        <f>VLOOKUP(B139,players!A:B,2)</f>
        <v>Nikola Vučević</v>
      </c>
    </row>
    <row r="138" spans="1:12" x14ac:dyDescent="0.25">
      <c r="A138">
        <v>10</v>
      </c>
      <c r="B138">
        <v>168</v>
      </c>
      <c r="C138">
        <v>6</v>
      </c>
      <c r="D138">
        <v>1000000</v>
      </c>
      <c r="L138" t="str">
        <f>VLOOKUP(B140,players!A:B,2)</f>
        <v>Alex Sarr</v>
      </c>
    </row>
    <row r="139" spans="1:12" x14ac:dyDescent="0.25">
      <c r="A139">
        <v>10</v>
      </c>
      <c r="B139">
        <v>28</v>
      </c>
      <c r="C139">
        <v>7</v>
      </c>
      <c r="L139" t="str">
        <f>VLOOKUP(B141,players!A:B,2)</f>
        <v>Julius Randle</v>
      </c>
    </row>
    <row r="140" spans="1:12" x14ac:dyDescent="0.25">
      <c r="A140">
        <v>10</v>
      </c>
      <c r="B140">
        <v>44</v>
      </c>
      <c r="C140">
        <v>8</v>
      </c>
      <c r="D140">
        <v>9250000</v>
      </c>
      <c r="F140">
        <v>10000000</v>
      </c>
      <c r="G140" t="s">
        <v>739</v>
      </c>
      <c r="L140" t="str">
        <f>VLOOKUP(B142,players!A:B,2)</f>
        <v>Jalen Williams</v>
      </c>
    </row>
    <row r="141" spans="1:12" x14ac:dyDescent="0.25">
      <c r="A141">
        <v>10</v>
      </c>
      <c r="B141">
        <v>60</v>
      </c>
      <c r="C141">
        <v>9</v>
      </c>
      <c r="D141">
        <v>15000000</v>
      </c>
      <c r="F141">
        <v>15000000</v>
      </c>
      <c r="H141">
        <v>15000000</v>
      </c>
      <c r="L141" t="str">
        <f>VLOOKUP(B143,players!A:B,2)</f>
        <v>Jamal Murray</v>
      </c>
    </row>
    <row r="142" spans="1:12" x14ac:dyDescent="0.25">
      <c r="A142">
        <v>10</v>
      </c>
      <c r="B142">
        <v>153</v>
      </c>
      <c r="C142">
        <v>10</v>
      </c>
      <c r="D142">
        <v>11000000</v>
      </c>
      <c r="F142">
        <v>11000000</v>
      </c>
      <c r="L142" t="str">
        <f>VLOOKUP(B144,players!A:B,2)</f>
        <v>Jalen Brunson</v>
      </c>
    </row>
    <row r="143" spans="1:12" x14ac:dyDescent="0.25">
      <c r="A143">
        <v>10</v>
      </c>
      <c r="B143">
        <v>160</v>
      </c>
      <c r="C143">
        <v>11</v>
      </c>
      <c r="D143">
        <v>16000000</v>
      </c>
      <c r="F143">
        <v>16000000</v>
      </c>
      <c r="H143">
        <v>16000000</v>
      </c>
      <c r="L143" t="str">
        <f>VLOOKUP(B145,players!A:B,2)</f>
        <v>Zuby Ejiofor</v>
      </c>
    </row>
    <row r="144" spans="1:12" x14ac:dyDescent="0.25">
      <c r="A144">
        <v>10</v>
      </c>
      <c r="B144">
        <v>246</v>
      </c>
      <c r="C144">
        <v>12</v>
      </c>
      <c r="D144">
        <v>24000000</v>
      </c>
      <c r="L144" t="str">
        <f>VLOOKUP(B146,players!A:B,2)</f>
        <v>Cole Anthony</v>
      </c>
    </row>
    <row r="145" spans="1:12" x14ac:dyDescent="0.25">
      <c r="A145">
        <v>10</v>
      </c>
      <c r="B145">
        <v>443</v>
      </c>
      <c r="C145">
        <v>13</v>
      </c>
      <c r="D145">
        <v>1000000</v>
      </c>
      <c r="F145">
        <v>1000000</v>
      </c>
      <c r="H145">
        <v>1000000</v>
      </c>
      <c r="I145" t="s">
        <v>739</v>
      </c>
      <c r="J145">
        <v>1000000</v>
      </c>
      <c r="K145" t="s">
        <v>739</v>
      </c>
      <c r="L145" t="str">
        <f>VLOOKUP(B147,players!A:B,2)</f>
        <v>Khris Middleton</v>
      </c>
    </row>
    <row r="146" spans="1:12" x14ac:dyDescent="0.25">
      <c r="A146">
        <v>11</v>
      </c>
      <c r="B146">
        <v>327</v>
      </c>
      <c r="C146">
        <v>1</v>
      </c>
      <c r="L146" t="str">
        <f>VLOOKUP(B148,players!A:B,2)</f>
        <v>John Collins</v>
      </c>
    </row>
    <row r="147" spans="1:12" x14ac:dyDescent="0.25">
      <c r="A147">
        <v>11</v>
      </c>
      <c r="B147">
        <v>213</v>
      </c>
      <c r="C147">
        <v>2</v>
      </c>
      <c r="L147" t="str">
        <f>VLOOKUP(B149,players!A:B,2)</f>
        <v>Daniel Gafford</v>
      </c>
    </row>
    <row r="148" spans="1:12" x14ac:dyDescent="0.25">
      <c r="A148">
        <v>11</v>
      </c>
      <c r="B148">
        <v>111</v>
      </c>
      <c r="C148">
        <v>3</v>
      </c>
      <c r="D148">
        <v>1000000</v>
      </c>
      <c r="L148" t="str">
        <f>VLOOKUP(B150,players!A:B,2)</f>
        <v>Isaiah Hartenstein</v>
      </c>
    </row>
    <row r="149" spans="1:12" x14ac:dyDescent="0.25">
      <c r="A149">
        <v>11</v>
      </c>
      <c r="B149">
        <v>58</v>
      </c>
      <c r="C149">
        <v>4</v>
      </c>
      <c r="L149" t="str">
        <f>VLOOKUP(B151,players!A:B,2)</f>
        <v>Jalen Smith</v>
      </c>
    </row>
    <row r="150" spans="1:12" x14ac:dyDescent="0.25">
      <c r="A150">
        <v>11</v>
      </c>
      <c r="B150">
        <v>18</v>
      </c>
      <c r="C150">
        <v>5</v>
      </c>
      <c r="D150">
        <v>1000000</v>
      </c>
      <c r="L150" t="str">
        <f>VLOOKUP(B152,players!A:B,2)</f>
        <v>Domantas Sabonis</v>
      </c>
    </row>
    <row r="151" spans="1:12" x14ac:dyDescent="0.25">
      <c r="A151">
        <v>11</v>
      </c>
      <c r="B151">
        <v>63</v>
      </c>
      <c r="C151">
        <v>6</v>
      </c>
      <c r="L151" t="str">
        <f>VLOOKUP(B153,players!A:B,2)</f>
        <v>Desmond Bane</v>
      </c>
    </row>
    <row r="152" spans="1:12" x14ac:dyDescent="0.25">
      <c r="A152">
        <v>11</v>
      </c>
      <c r="B152">
        <v>6</v>
      </c>
      <c r="C152">
        <v>7</v>
      </c>
      <c r="D152">
        <v>26000000</v>
      </c>
      <c r="L152" t="str">
        <f>VLOOKUP(B154,players!A:B,2)</f>
        <v>Amen Thompson</v>
      </c>
    </row>
    <row r="153" spans="1:12" x14ac:dyDescent="0.25">
      <c r="A153">
        <v>11</v>
      </c>
      <c r="B153">
        <v>177</v>
      </c>
      <c r="C153">
        <v>8</v>
      </c>
      <c r="D153">
        <v>15000000</v>
      </c>
      <c r="L153" t="str">
        <f>VLOOKUP(B155,players!A:B,2)</f>
        <v>Shai Gilgeous-Alexander</v>
      </c>
    </row>
    <row r="154" spans="1:12" x14ac:dyDescent="0.25">
      <c r="A154">
        <v>11</v>
      </c>
      <c r="B154">
        <v>35</v>
      </c>
      <c r="C154">
        <v>9</v>
      </c>
      <c r="D154">
        <v>7500000</v>
      </c>
      <c r="L154" t="str">
        <f>VLOOKUP(B156,players!A:B,2)</f>
        <v>CJ McCollum</v>
      </c>
    </row>
    <row r="155" spans="1:12" x14ac:dyDescent="0.25">
      <c r="A155">
        <v>11</v>
      </c>
      <c r="B155">
        <v>166</v>
      </c>
      <c r="C155">
        <v>10</v>
      </c>
      <c r="D155">
        <v>30000000</v>
      </c>
      <c r="F155">
        <v>30000000</v>
      </c>
      <c r="H155">
        <v>30000000</v>
      </c>
      <c r="L155" t="str">
        <f>VLOOKUP(B157,players!A:B,2)</f>
        <v>Paul George</v>
      </c>
    </row>
    <row r="156" spans="1:12" x14ac:dyDescent="0.25">
      <c r="A156">
        <v>11</v>
      </c>
      <c r="B156">
        <v>248</v>
      </c>
      <c r="C156">
        <v>11</v>
      </c>
      <c r="D156">
        <v>1000000</v>
      </c>
      <c r="L156" t="str">
        <f>VLOOKUP(B158,players!A:B,2)</f>
        <v>Moritz Wagner</v>
      </c>
    </row>
    <row r="157" spans="1:12" x14ac:dyDescent="0.25">
      <c r="A157">
        <v>11</v>
      </c>
      <c r="B157">
        <v>109</v>
      </c>
      <c r="C157">
        <v>12</v>
      </c>
      <c r="L157" t="str">
        <f>VLOOKUP(B159,players!A:B,2)</f>
        <v>Payton Pritchard</v>
      </c>
    </row>
    <row r="158" spans="1:12" x14ac:dyDescent="0.25">
      <c r="A158">
        <v>11</v>
      </c>
      <c r="B158">
        <v>266</v>
      </c>
      <c r="C158">
        <v>13</v>
      </c>
      <c r="L158" t="str">
        <f>VLOOKUP(B160,players!A:B,2)</f>
        <v>Meleek Thomas</v>
      </c>
    </row>
    <row r="159" spans="1:12" x14ac:dyDescent="0.25">
      <c r="A159">
        <v>11</v>
      </c>
      <c r="B159">
        <v>195</v>
      </c>
      <c r="C159">
        <v>14</v>
      </c>
      <c r="L159" t="str">
        <f>VLOOKUP(B161,players!A:B,2)</f>
        <v>Bradley Beal</v>
      </c>
    </row>
    <row r="160" spans="1:12" x14ac:dyDescent="0.25">
      <c r="A160">
        <v>11</v>
      </c>
      <c r="B160">
        <v>436</v>
      </c>
      <c r="C160">
        <v>15</v>
      </c>
      <c r="D160">
        <v>1000000</v>
      </c>
      <c r="F160">
        <v>1000000</v>
      </c>
      <c r="H160">
        <v>1000000</v>
      </c>
      <c r="I160" t="s">
        <v>739</v>
      </c>
      <c r="J160">
        <v>1000000</v>
      </c>
      <c r="K160" t="s">
        <v>739</v>
      </c>
      <c r="L160" t="str">
        <f>VLOOKUP(B162,players!A:B,2)</f>
        <v>Buddy Hield</v>
      </c>
    </row>
    <row r="161" spans="1:12" x14ac:dyDescent="0.25">
      <c r="A161">
        <v>12</v>
      </c>
      <c r="B161">
        <v>403</v>
      </c>
      <c r="C161">
        <v>1</v>
      </c>
      <c r="D161">
        <v>5000000</v>
      </c>
      <c r="F161">
        <v>5000000</v>
      </c>
      <c r="L161" t="str">
        <f>VLOOKUP(B163,players!A:B,2)</f>
        <v>Brandin Podziemski</v>
      </c>
    </row>
    <row r="162" spans="1:12" x14ac:dyDescent="0.25">
      <c r="A162">
        <v>12</v>
      </c>
      <c r="B162">
        <v>345</v>
      </c>
      <c r="C162">
        <v>2</v>
      </c>
      <c r="D162">
        <v>3500000</v>
      </c>
      <c r="F162">
        <v>3500000</v>
      </c>
      <c r="L162" t="str">
        <f>VLOOKUP(B164,players!A:B,2)</f>
        <v>Chet Holmgren</v>
      </c>
    </row>
    <row r="163" spans="1:12" x14ac:dyDescent="0.25">
      <c r="A163">
        <v>12</v>
      </c>
      <c r="B163">
        <v>120</v>
      </c>
      <c r="C163">
        <v>3</v>
      </c>
      <c r="D163">
        <v>1000000</v>
      </c>
      <c r="L163" t="str">
        <f>VLOOKUP(B165,players!A:B,2)</f>
        <v>Lauri Markkanen</v>
      </c>
    </row>
    <row r="164" spans="1:12" x14ac:dyDescent="0.25">
      <c r="A164">
        <v>12</v>
      </c>
      <c r="B164">
        <v>22</v>
      </c>
      <c r="C164">
        <v>4</v>
      </c>
      <c r="L164" t="str">
        <f>VLOOKUP(B166,players!A:B,2)</f>
        <v>Devin Booker</v>
      </c>
    </row>
    <row r="165" spans="1:12" x14ac:dyDescent="0.25">
      <c r="A165">
        <v>12</v>
      </c>
      <c r="B165">
        <v>54</v>
      </c>
      <c r="C165">
        <v>5</v>
      </c>
      <c r="D165">
        <v>11000000</v>
      </c>
      <c r="L165" t="str">
        <f>VLOOKUP(B167,players!A:B,2)</f>
        <v>Tyrese Haliburton</v>
      </c>
    </row>
    <row r="166" spans="1:12" x14ac:dyDescent="0.25">
      <c r="A166">
        <v>12</v>
      </c>
      <c r="B166">
        <v>194</v>
      </c>
      <c r="C166">
        <v>6</v>
      </c>
      <c r="D166">
        <v>20000000</v>
      </c>
      <c r="F166">
        <v>20000000</v>
      </c>
      <c r="L166" t="str">
        <f>VLOOKUP(B168,players!A:B,2)</f>
        <v>Kevin Porter Jr.</v>
      </c>
    </row>
    <row r="167" spans="1:12" x14ac:dyDescent="0.25">
      <c r="A167">
        <v>12</v>
      </c>
      <c r="B167">
        <v>226</v>
      </c>
      <c r="C167">
        <v>7</v>
      </c>
      <c r="D167">
        <v>18000000</v>
      </c>
      <c r="F167">
        <v>18000000</v>
      </c>
      <c r="H167">
        <v>18000000</v>
      </c>
      <c r="L167" t="str">
        <f>VLOOKUP(B169,players!A:B,2)</f>
        <v>A.J. Dybantsa</v>
      </c>
    </row>
    <row r="168" spans="1:12" x14ac:dyDescent="0.25">
      <c r="A168">
        <v>12</v>
      </c>
      <c r="B168">
        <v>115</v>
      </c>
      <c r="C168">
        <v>8</v>
      </c>
      <c r="D168">
        <v>2500000</v>
      </c>
      <c r="L168" t="str">
        <f>VLOOKUP(B170,players!A:B,2)</f>
        <v>Nate Ament</v>
      </c>
    </row>
    <row r="169" spans="1:12" x14ac:dyDescent="0.25">
      <c r="A169">
        <v>12</v>
      </c>
      <c r="B169">
        <v>417</v>
      </c>
      <c r="C169">
        <v>9</v>
      </c>
      <c r="D169">
        <v>9000000</v>
      </c>
      <c r="F169">
        <v>9500000</v>
      </c>
      <c r="H169">
        <v>10500000</v>
      </c>
      <c r="I169" t="s">
        <v>739</v>
      </c>
      <c r="J169">
        <v>11500000</v>
      </c>
      <c r="K169" t="s">
        <v>739</v>
      </c>
      <c r="L169" t="str">
        <f>VLOOKUP(B171,players!A:B,2)</f>
        <v>Davion Mitchell</v>
      </c>
    </row>
    <row r="170" spans="1:12" x14ac:dyDescent="0.25">
      <c r="A170">
        <v>12</v>
      </c>
      <c r="B170">
        <v>431</v>
      </c>
      <c r="C170">
        <v>10</v>
      </c>
      <c r="D170">
        <v>1000000</v>
      </c>
      <c r="F170">
        <v>1000000</v>
      </c>
      <c r="H170">
        <v>1000000</v>
      </c>
      <c r="I170" t="s">
        <v>739</v>
      </c>
      <c r="J170">
        <v>1000000</v>
      </c>
      <c r="K170" t="s">
        <v>739</v>
      </c>
      <c r="L170" t="str">
        <f>VLOOKUP(B172,players!A:B,2)</f>
        <v>Jordan Poole</v>
      </c>
    </row>
    <row r="171" spans="1:12" x14ac:dyDescent="0.25">
      <c r="A171">
        <v>13</v>
      </c>
      <c r="B171">
        <v>307</v>
      </c>
      <c r="C171">
        <v>1</v>
      </c>
      <c r="D171">
        <v>1000000</v>
      </c>
      <c r="L171" t="str">
        <f>VLOOKUP(B173,players!A:B,2)</f>
        <v>Andrew Nembhard</v>
      </c>
    </row>
    <row r="172" spans="1:12" x14ac:dyDescent="0.25">
      <c r="A172">
        <v>13</v>
      </c>
      <c r="B172">
        <v>363</v>
      </c>
      <c r="C172">
        <v>2</v>
      </c>
      <c r="L172" t="str">
        <f>VLOOKUP(B174,players!A:B,2)</f>
        <v>Aaron Nesmith</v>
      </c>
    </row>
    <row r="173" spans="1:12" x14ac:dyDescent="0.25">
      <c r="A173">
        <v>13</v>
      </c>
      <c r="B173">
        <v>296</v>
      </c>
      <c r="C173">
        <v>3</v>
      </c>
      <c r="D173">
        <v>3000000</v>
      </c>
      <c r="L173" t="str">
        <f>VLOOKUP(B175,players!A:B,2)</f>
        <v>Ivica Zubac</v>
      </c>
    </row>
    <row r="174" spans="1:12" x14ac:dyDescent="0.25">
      <c r="A174">
        <v>13</v>
      </c>
      <c r="B174">
        <v>171</v>
      </c>
      <c r="C174">
        <v>4</v>
      </c>
      <c r="D174">
        <v>2000000</v>
      </c>
      <c r="L174" t="str">
        <f>VLOOKUP(B176,players!A:B,2)</f>
        <v>Wendell Carter Jr.</v>
      </c>
    </row>
    <row r="175" spans="1:12" x14ac:dyDescent="0.25">
      <c r="A175">
        <v>13</v>
      </c>
      <c r="B175">
        <v>10</v>
      </c>
      <c r="C175">
        <v>5</v>
      </c>
      <c r="L175" t="str">
        <f>VLOOKUP(B177,players!A:B,2)</f>
        <v>Victor Wembanyama</v>
      </c>
    </row>
    <row r="176" spans="1:12" x14ac:dyDescent="0.25">
      <c r="A176">
        <v>13</v>
      </c>
      <c r="B176">
        <v>46</v>
      </c>
      <c r="C176">
        <v>6</v>
      </c>
      <c r="L176" t="str">
        <f>VLOOKUP(B178,players!A:B,2)</f>
        <v>Josh Giddey</v>
      </c>
    </row>
    <row r="177" spans="1:12" x14ac:dyDescent="0.25">
      <c r="A177">
        <v>13</v>
      </c>
      <c r="B177">
        <v>4</v>
      </c>
      <c r="C177">
        <v>7</v>
      </c>
      <c r="D177">
        <v>11500000</v>
      </c>
      <c r="L177" t="str">
        <f>VLOOKUP(B179,players!A:B,2)</f>
        <v>Deni Avdija</v>
      </c>
    </row>
    <row r="178" spans="1:12" x14ac:dyDescent="0.25">
      <c r="A178">
        <v>13</v>
      </c>
      <c r="B178">
        <v>32</v>
      </c>
      <c r="C178">
        <v>8</v>
      </c>
      <c r="D178">
        <v>16000000</v>
      </c>
      <c r="F178">
        <v>16000000</v>
      </c>
      <c r="H178">
        <v>16000000</v>
      </c>
      <c r="L178" t="str">
        <f>VLOOKUP(B180,players!A:B,2)</f>
        <v>Pascal Siakam</v>
      </c>
    </row>
    <row r="179" spans="1:12" x14ac:dyDescent="0.25">
      <c r="A179">
        <v>13</v>
      </c>
      <c r="B179">
        <v>55</v>
      </c>
      <c r="C179">
        <v>9</v>
      </c>
      <c r="D179">
        <v>12000000</v>
      </c>
      <c r="F179">
        <v>12000000</v>
      </c>
      <c r="H179">
        <v>12000000</v>
      </c>
      <c r="L179" t="str">
        <f>VLOOKUP(B181,players!A:B,2)</f>
        <v>Austin Reaves</v>
      </c>
    </row>
    <row r="180" spans="1:12" x14ac:dyDescent="0.25">
      <c r="A180">
        <v>13</v>
      </c>
      <c r="B180">
        <v>66</v>
      </c>
      <c r="C180">
        <v>10</v>
      </c>
      <c r="D180">
        <v>19000000</v>
      </c>
      <c r="L180" t="str">
        <f>VLOOKUP(B182,players!A:B,2)</f>
        <v>Cameron Carr</v>
      </c>
    </row>
    <row r="181" spans="1:12" x14ac:dyDescent="0.25">
      <c r="A181">
        <v>13</v>
      </c>
      <c r="B181">
        <v>150</v>
      </c>
      <c r="C181">
        <v>11</v>
      </c>
      <c r="D181">
        <v>6000000</v>
      </c>
      <c r="F181">
        <v>6000000</v>
      </c>
      <c r="H181">
        <v>6000000</v>
      </c>
      <c r="L181" t="str">
        <f>VLOOKUP(B183,players!A:B,2)</f>
        <v>Sergio de Larrea</v>
      </c>
    </row>
    <row r="182" spans="1:12" x14ac:dyDescent="0.25">
      <c r="A182">
        <v>13</v>
      </c>
      <c r="B182">
        <v>430</v>
      </c>
      <c r="C182">
        <v>13</v>
      </c>
      <c r="D182">
        <v>2600000</v>
      </c>
      <c r="F182">
        <v>2800000</v>
      </c>
      <c r="H182">
        <v>3000000</v>
      </c>
      <c r="I182" t="s">
        <v>739</v>
      </c>
      <c r="J182">
        <v>3300000</v>
      </c>
      <c r="K182" t="s">
        <v>739</v>
      </c>
      <c r="L182" t="str">
        <f>VLOOKUP(B184,players!A:B,2)</f>
        <v>Anfernee Simons</v>
      </c>
    </row>
    <row r="183" spans="1:12" x14ac:dyDescent="0.25">
      <c r="A183">
        <v>13</v>
      </c>
      <c r="B183">
        <v>440</v>
      </c>
      <c r="C183">
        <v>14</v>
      </c>
      <c r="D183">
        <v>1000000</v>
      </c>
      <c r="F183">
        <v>1000000</v>
      </c>
      <c r="H183">
        <v>1000000</v>
      </c>
      <c r="I183" t="s">
        <v>739</v>
      </c>
      <c r="J183">
        <v>1000000</v>
      </c>
      <c r="K183" t="s">
        <v>739</v>
      </c>
      <c r="L183" t="str">
        <f>VLOOKUP(B185,players!A:B,2)</f>
        <v>Marcus Smart</v>
      </c>
    </row>
    <row r="184" spans="1:12" x14ac:dyDescent="0.25">
      <c r="A184">
        <v>14</v>
      </c>
      <c r="B184">
        <v>317</v>
      </c>
      <c r="C184">
        <v>1</v>
      </c>
      <c r="L184" t="str">
        <f>VLOOKUP(B186,players!A:B,2)</f>
        <v>Jaime Jaquez Jr.</v>
      </c>
    </row>
    <row r="185" spans="1:12" x14ac:dyDescent="0.25">
      <c r="A185">
        <v>14</v>
      </c>
      <c r="B185">
        <v>299</v>
      </c>
      <c r="C185">
        <v>2</v>
      </c>
      <c r="L185" t="str">
        <f>VLOOKUP(B187,players!A:B,2)</f>
        <v>Jimmy Butler</v>
      </c>
    </row>
    <row r="186" spans="1:12" x14ac:dyDescent="0.25">
      <c r="A186">
        <v>14</v>
      </c>
      <c r="B186">
        <v>129</v>
      </c>
      <c r="C186">
        <v>3</v>
      </c>
      <c r="L186" t="str">
        <f>VLOOKUP(B188,players!A:B,2)</f>
        <v>Moussa Diabaté</v>
      </c>
    </row>
    <row r="187" spans="1:12" x14ac:dyDescent="0.25">
      <c r="A187">
        <v>14</v>
      </c>
      <c r="B187">
        <v>90</v>
      </c>
      <c r="C187">
        <v>4</v>
      </c>
      <c r="L187" t="str">
        <f>VLOOKUP(B189,players!A:B,2)</f>
        <v>Coby White</v>
      </c>
    </row>
    <row r="188" spans="1:12" x14ac:dyDescent="0.25">
      <c r="A188">
        <v>14</v>
      </c>
      <c r="B188">
        <v>24</v>
      </c>
      <c r="C188">
        <v>5</v>
      </c>
      <c r="D188">
        <v>1000000</v>
      </c>
      <c r="L188" t="str">
        <f>VLOOKUP(B190,players!A:B,2)</f>
        <v>Evan Mobley</v>
      </c>
    </row>
    <row r="189" spans="1:12" x14ac:dyDescent="0.25">
      <c r="A189">
        <v>14</v>
      </c>
      <c r="B189">
        <v>238</v>
      </c>
      <c r="C189">
        <v>6</v>
      </c>
      <c r="D189">
        <v>3000000</v>
      </c>
      <c r="L189" t="str">
        <f>VLOOKUP(B191,players!A:B,2)</f>
        <v>LeBron James</v>
      </c>
    </row>
    <row r="190" spans="1:12" x14ac:dyDescent="0.25">
      <c r="A190">
        <v>14</v>
      </c>
      <c r="B190">
        <v>19</v>
      </c>
      <c r="C190">
        <v>7</v>
      </c>
      <c r="D190">
        <v>20500000</v>
      </c>
      <c r="F190">
        <v>20500000</v>
      </c>
      <c r="H190">
        <v>20500000</v>
      </c>
      <c r="L190" t="str">
        <f>VLOOKUP(B192,players!A:B,2)</f>
        <v>Cooper Flagg</v>
      </c>
    </row>
    <row r="191" spans="1:12" x14ac:dyDescent="0.25">
      <c r="A191">
        <v>14</v>
      </c>
      <c r="B191">
        <v>73</v>
      </c>
      <c r="C191">
        <v>8</v>
      </c>
      <c r="D191">
        <v>19500000</v>
      </c>
      <c r="L191" t="str">
        <f>VLOOKUP(B193,players!A:B,2)</f>
        <v>Karl-Anthony Towns</v>
      </c>
    </row>
    <row r="192" spans="1:12" x14ac:dyDescent="0.25">
      <c r="A192">
        <v>14</v>
      </c>
      <c r="B192">
        <v>61</v>
      </c>
      <c r="C192">
        <v>9</v>
      </c>
      <c r="D192">
        <v>9500000</v>
      </c>
      <c r="F192">
        <v>10500000</v>
      </c>
      <c r="G192" t="s">
        <v>739</v>
      </c>
      <c r="H192">
        <v>11500000</v>
      </c>
      <c r="I192" t="s">
        <v>739</v>
      </c>
      <c r="L192" t="str">
        <f>VLOOKUP(B194,players!A:B,2)</f>
        <v>Quentin Grimes</v>
      </c>
    </row>
    <row r="193" spans="1:12" x14ac:dyDescent="0.25">
      <c r="A193">
        <v>14</v>
      </c>
      <c r="B193">
        <v>2</v>
      </c>
      <c r="C193">
        <v>10</v>
      </c>
      <c r="L193" t="str">
        <f>VLOOKUP(B195,players!A:B,2)</f>
        <v>LaMelo Ball</v>
      </c>
    </row>
    <row r="194" spans="1:12" x14ac:dyDescent="0.25">
      <c r="A194">
        <v>14</v>
      </c>
      <c r="B194">
        <v>220</v>
      </c>
      <c r="C194">
        <v>11</v>
      </c>
      <c r="L194" t="str">
        <f>VLOOKUP(B196,players!A:B,2)</f>
        <v>Cason Wallace</v>
      </c>
    </row>
    <row r="195" spans="1:12" x14ac:dyDescent="0.25">
      <c r="A195">
        <v>14</v>
      </c>
      <c r="B195">
        <v>145</v>
      </c>
      <c r="C195">
        <v>12</v>
      </c>
      <c r="D195">
        <v>20000000</v>
      </c>
      <c r="F195">
        <v>20000000</v>
      </c>
      <c r="H195">
        <v>20000000</v>
      </c>
      <c r="L195" t="str">
        <f>VLOOKUP(B197,players!A:B,2)</f>
        <v>Morez Johnson Jr.</v>
      </c>
    </row>
    <row r="196" spans="1:12" x14ac:dyDescent="0.25">
      <c r="A196">
        <v>14</v>
      </c>
      <c r="B196">
        <v>273</v>
      </c>
      <c r="C196">
        <v>13</v>
      </c>
      <c r="D196">
        <v>3200000</v>
      </c>
      <c r="F196">
        <v>3500000</v>
      </c>
      <c r="L196" t="str">
        <f>VLOOKUP(B198,players!A:B,2)</f>
        <v>Allen Graves</v>
      </c>
    </row>
    <row r="197" spans="1:12" x14ac:dyDescent="0.25">
      <c r="A197">
        <v>13</v>
      </c>
      <c r="B197">
        <v>426</v>
      </c>
      <c r="C197">
        <v>14</v>
      </c>
      <c r="D197">
        <v>3400000</v>
      </c>
      <c r="F197">
        <v>3600000</v>
      </c>
      <c r="H197">
        <v>3800000</v>
      </c>
      <c r="I197" t="s">
        <v>739</v>
      </c>
      <c r="J197">
        <v>4100000</v>
      </c>
      <c r="K197" t="s">
        <v>739</v>
      </c>
      <c r="L197" t="e">
        <f>VLOOKUP(B199,players!A:B,2)</f>
        <v>#N/A</v>
      </c>
    </row>
    <row r="198" spans="1:12" x14ac:dyDescent="0.25">
      <c r="A198">
        <v>7</v>
      </c>
      <c r="B198">
        <v>434</v>
      </c>
      <c r="C198">
        <v>15</v>
      </c>
      <c r="D198">
        <v>1000000</v>
      </c>
      <c r="F198">
        <v>1000000</v>
      </c>
      <c r="H198">
        <v>1000000</v>
      </c>
      <c r="I198" t="s">
        <v>739</v>
      </c>
      <c r="J198">
        <v>1000000</v>
      </c>
      <c r="K198" t="s">
        <v>739</v>
      </c>
      <c r="L198" t="e">
        <f>VLOOKUP(B200,players!A:B,2)</f>
        <v>#N/A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workbookViewId="0"/>
  </sheetViews>
  <sheetFormatPr defaultRowHeight="15" x14ac:dyDescent="0.25"/>
  <sheetData>
    <row r="1" spans="1:12" x14ac:dyDescent="0.25">
      <c r="A1" t="s">
        <v>583</v>
      </c>
      <c r="B1" t="s">
        <v>117</v>
      </c>
      <c r="C1" t="s">
        <v>729</v>
      </c>
      <c r="D1" t="s">
        <v>730</v>
      </c>
      <c r="E1" t="s">
        <v>731</v>
      </c>
      <c r="F1" t="s">
        <v>732</v>
      </c>
      <c r="G1" t="s">
        <v>733</v>
      </c>
      <c r="H1" t="s">
        <v>734</v>
      </c>
      <c r="I1" t="s">
        <v>735</v>
      </c>
      <c r="J1" t="s">
        <v>736</v>
      </c>
      <c r="K1" t="s">
        <v>737</v>
      </c>
      <c r="L1" t="s">
        <v>738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739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739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739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739</v>
      </c>
      <c r="H5">
        <v>1000000</v>
      </c>
      <c r="I5" t="s">
        <v>739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739</v>
      </c>
      <c r="H6">
        <v>5500000</v>
      </c>
      <c r="I6" t="s">
        <v>739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739</v>
      </c>
      <c r="H7">
        <v>1000000</v>
      </c>
      <c r="I7" t="s">
        <v>739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739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739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739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739</v>
      </c>
      <c r="J11">
        <v>5500000</v>
      </c>
      <c r="K11" t="s">
        <v>739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739</v>
      </c>
      <c r="H12">
        <v>1000000</v>
      </c>
      <c r="I12" t="s">
        <v>739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739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739</v>
      </c>
      <c r="H14">
        <v>7500000</v>
      </c>
      <c r="I14" t="s">
        <v>739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739</v>
      </c>
      <c r="H15">
        <v>3300000</v>
      </c>
      <c r="I15" t="s">
        <v>739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739</v>
      </c>
      <c r="H16">
        <v>4500000</v>
      </c>
      <c r="I16" t="s">
        <v>739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739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739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739</v>
      </c>
      <c r="H19">
        <v>6000000</v>
      </c>
      <c r="I19" t="s">
        <v>739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739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739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739</v>
      </c>
      <c r="H22">
        <v>6500000</v>
      </c>
      <c r="I22" t="s">
        <v>739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739</v>
      </c>
      <c r="H25">
        <v>1000000</v>
      </c>
      <c r="I25" t="s">
        <v>739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739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739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739</v>
      </c>
      <c r="H30">
        <v>4100000</v>
      </c>
      <c r="I30" t="s">
        <v>739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739</v>
      </c>
      <c r="H31">
        <v>10000000</v>
      </c>
      <c r="I31" t="s">
        <v>739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739</v>
      </c>
      <c r="H33">
        <v>4200000</v>
      </c>
      <c r="I33" t="s">
        <v>739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739</v>
      </c>
      <c r="J34">
        <v>6500000</v>
      </c>
      <c r="K34" t="s">
        <v>739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739</v>
      </c>
      <c r="J35">
        <v>1000000</v>
      </c>
      <c r="K35" t="s">
        <v>739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739</v>
      </c>
      <c r="J36">
        <v>1000000</v>
      </c>
      <c r="K36" t="s">
        <v>739</v>
      </c>
      <c r="L36" t="str">
        <f>VLOOKUP(B36,players!A:B,2)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14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15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20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21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22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23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24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25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26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27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28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29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30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31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32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33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34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35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36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37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38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39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40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41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42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43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44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45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46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47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48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49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50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55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56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57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58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59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60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61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62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63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64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66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67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68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69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70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71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72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73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74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75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76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77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78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79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80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81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82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83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84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85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86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87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88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89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90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91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92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93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94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95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96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97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98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99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100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101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102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103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104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105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106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107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108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109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110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111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112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113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114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115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116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2026-07-19T00:00:13Z</dcterms:modified>
</cp:coreProperties>
</file>