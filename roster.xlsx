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58" documentId="13_ncr:1_{430BDD2D-160C-44D5-BB14-2292BAF4F531}" xr6:coauthVersionLast="47" xr6:coauthVersionMax="47" xr10:uidLastSave="{62FFA30F-5A49-4041-9C0E-7735BFB4A2F2}"/>
  <bookViews>
    <workbookView xWindow="-120" yWindow="-120" windowWidth="29040" windowHeight="16440" activeTab="2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<sst xmlns="http://schemas.openxmlformats.org/spreadsheetml/2006/main" count="1100" uniqueCount="524">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</sst>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abSelected="1"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workbookViewId="0">
      <selection activeCell="L2" sqref="L2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2"/>
  <sheetViews>
    <sheetView workbookViewId="0">
      <selection activeCell="N15" sqref="N15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209</v>
      </c>
      <c r="C13">
        <v>3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Nique Clifford</v>
      </c>
    </row>
    <row r="14" spans="1:12" x14ac:dyDescent="0.25">
      <c r="A14">
        <v>5</v>
      </c>
      <c r="B14">
        <v>409</v>
      </c>
      <c r="C14">
        <v>4</v>
      </c>
      <c r="D14" s="2">
        <v>4000000</v>
      </c>
      <c r="E14" s="2"/>
      <c r="F14" s="2">
        <v>4200000</v>
      </c>
      <c r="G14" s="2" t="s">
        <v>472</v>
      </c>
      <c r="H14" s="2">
        <v>4500000</v>
      </c>
      <c r="I14" s="2" t="s">
        <v>472</v>
      </c>
      <c r="J14" s="2"/>
      <c r="K14" s="2"/>
      <c r="L14" t="str">
        <f>VLOOKUP(B14,players!A:B,2)</f>
        <v>Hansen Yang</v>
      </c>
    </row>
    <row r="15" spans="1:12" x14ac:dyDescent="0.25">
      <c r="A15">
        <v>6</v>
      </c>
      <c r="B15">
        <v>192</v>
      </c>
      <c r="C15">
        <v>1</v>
      </c>
      <c r="D15" s="2">
        <v>3200000</v>
      </c>
      <c r="E15" s="2"/>
      <c r="F15" s="2">
        <v>3500000</v>
      </c>
      <c r="G15" s="2" t="s">
        <v>472</v>
      </c>
      <c r="H15" s="2"/>
      <c r="I15" s="2"/>
      <c r="J15" s="2"/>
      <c r="K15" s="2"/>
      <c r="L15" t="str">
        <f>VLOOKUP(B15,players!A:B,2)</f>
        <v>Tidjane Salaün</v>
      </c>
    </row>
    <row r="16" spans="1:12" x14ac:dyDescent="0.25">
      <c r="A16">
        <v>8</v>
      </c>
      <c r="B16">
        <v>47</v>
      </c>
      <c r="C16">
        <v>1</v>
      </c>
      <c r="D16" s="2">
        <v>1000000</v>
      </c>
      <c r="E16" s="2"/>
      <c r="F16" s="2">
        <v>1000000</v>
      </c>
      <c r="G16" s="2" t="s">
        <v>472</v>
      </c>
      <c r="H16" s="2"/>
      <c r="I16" s="2"/>
      <c r="J16" s="2"/>
      <c r="K16" s="2"/>
      <c r="L16" t="str">
        <f>VLOOKUP(B16,players!A:B,2)</f>
        <v>Kyle Filipowski</v>
      </c>
    </row>
    <row r="17" spans="1:12" x14ac:dyDescent="0.25">
      <c r="A17">
        <v>9</v>
      </c>
      <c r="B17">
        <v>108</v>
      </c>
      <c r="C17">
        <v>1</v>
      </c>
      <c r="D17" s="2">
        <v>5000000</v>
      </c>
      <c r="E17" s="2"/>
      <c r="F17" s="2">
        <v>5500000</v>
      </c>
      <c r="G17" s="2" t="s">
        <v>472</v>
      </c>
      <c r="H17" s="2">
        <v>6000000</v>
      </c>
      <c r="I17" s="2" t="s">
        <v>472</v>
      </c>
      <c r="J17" s="2"/>
      <c r="K17" s="2"/>
      <c r="L17" t="str">
        <f>VLOOKUP(B17,players!A:B,2)</f>
        <v>Kon Knueppel</v>
      </c>
    </row>
    <row r="18" spans="1:12" x14ac:dyDescent="0.25">
      <c r="A18">
        <v>9</v>
      </c>
      <c r="B18">
        <v>123</v>
      </c>
      <c r="C18">
        <v>2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Jaylon Tyson</v>
      </c>
    </row>
    <row r="19" spans="1:12" x14ac:dyDescent="0.25">
      <c r="A19">
        <v>9</v>
      </c>
      <c r="B19">
        <v>410</v>
      </c>
      <c r="C19">
        <v>3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Joan Beringer</v>
      </c>
    </row>
    <row r="20" spans="1:12" x14ac:dyDescent="0.25">
      <c r="A20">
        <v>10</v>
      </c>
      <c r="B20">
        <v>297</v>
      </c>
      <c r="C20">
        <v>1</v>
      </c>
      <c r="D20" s="2">
        <v>5500000</v>
      </c>
      <c r="E20" s="2"/>
      <c r="F20" s="2">
        <v>6000000</v>
      </c>
      <c r="G20" s="2" t="s">
        <v>472</v>
      </c>
      <c r="H20" s="2">
        <v>6500000</v>
      </c>
      <c r="I20" s="2" t="s">
        <v>472</v>
      </c>
      <c r="J20" s="2"/>
      <c r="K20" s="2"/>
      <c r="L20" t="str">
        <f>VLOOKUP(B20,players!A:B,2)</f>
        <v>Tre Johnson</v>
      </c>
    </row>
    <row r="21" spans="1:12" x14ac:dyDescent="0.25">
      <c r="A21">
        <v>10</v>
      </c>
      <c r="B21">
        <v>313</v>
      </c>
      <c r="C21">
        <v>2</v>
      </c>
      <c r="D21" s="2">
        <v>1000000</v>
      </c>
      <c r="E21" s="2"/>
      <c r="F21" s="2">
        <v>1000000</v>
      </c>
      <c r="G21" s="2"/>
      <c r="H21" s="2"/>
      <c r="I21" s="2"/>
      <c r="J21" s="2"/>
      <c r="K21" s="2"/>
      <c r="L21" t="str">
        <f>VLOOKUP(B21,players!A:B,2)</f>
        <v>Ja'Kobe Walter</v>
      </c>
    </row>
    <row r="22" spans="1:12" x14ac:dyDescent="0.25">
      <c r="A22">
        <v>10</v>
      </c>
      <c r="B22">
        <v>300</v>
      </c>
      <c r="C22">
        <v>3</v>
      </c>
      <c r="D22" s="2">
        <v>6000000</v>
      </c>
      <c r="E22" s="2"/>
      <c r="F22" s="2"/>
      <c r="G22" s="2"/>
      <c r="H22" s="2"/>
      <c r="I22" s="2"/>
      <c r="J22" s="2"/>
      <c r="K22" s="2"/>
      <c r="L22" t="str">
        <f>VLOOKUP(B22,players!A:B,2)</f>
        <v>Cam Whitmore</v>
      </c>
    </row>
    <row r="23" spans="1:12" x14ac:dyDescent="0.25">
      <c r="A23">
        <v>10</v>
      </c>
      <c r="B23">
        <v>411</v>
      </c>
      <c r="C23">
        <v>4</v>
      </c>
      <c r="D23" s="2">
        <v>1000000</v>
      </c>
      <c r="E23" s="2"/>
      <c r="F23" s="2">
        <v>1000000</v>
      </c>
      <c r="G23" s="2" t="s">
        <v>472</v>
      </c>
      <c r="H23" s="2">
        <v>1000000</v>
      </c>
      <c r="I23" s="2" t="s">
        <v>472</v>
      </c>
      <c r="J23" s="2"/>
      <c r="K23" s="2"/>
      <c r="L23" t="str">
        <f>VLOOKUP(B23,players!A:B,2)</f>
        <v>Thomas Sorber</v>
      </c>
    </row>
    <row r="24" spans="1:12" x14ac:dyDescent="0.25">
      <c r="A24">
        <v>11</v>
      </c>
      <c r="B24">
        <v>412</v>
      </c>
      <c r="C24">
        <v>1</v>
      </c>
      <c r="D24" s="2">
        <v>3200000</v>
      </c>
      <c r="E24" s="2"/>
      <c r="F24" s="2">
        <v>3500000</v>
      </c>
      <c r="G24" s="2" t="s">
        <v>472</v>
      </c>
      <c r="H24" s="2"/>
      <c r="I24" s="2"/>
      <c r="J24" s="2"/>
      <c r="K24" s="2"/>
      <c r="L24" t="str">
        <f>VLOOKUP(B24,players!A:B,2)</f>
        <v>Carter Bryant</v>
      </c>
    </row>
    <row r="25" spans="1:12" x14ac:dyDescent="0.25">
      <c r="A25">
        <v>11</v>
      </c>
      <c r="B25">
        <v>413</v>
      </c>
      <c r="C25">
        <v>2</v>
      </c>
      <c r="D25" s="2">
        <v>3300000</v>
      </c>
      <c r="E25" s="2"/>
      <c r="F25" s="2"/>
      <c r="G25" s="2"/>
      <c r="H25" s="2"/>
      <c r="I25" s="2"/>
      <c r="J25" s="2"/>
      <c r="K25" s="2"/>
      <c r="L25" t="str">
        <f>VLOOKUP(B25,players!A:B,2)</f>
        <v>Dalton Knecht</v>
      </c>
    </row>
    <row r="26" spans="1:12" x14ac:dyDescent="0.25">
      <c r="A26">
        <v>11</v>
      </c>
      <c r="B26">
        <v>189</v>
      </c>
      <c r="C26">
        <v>3</v>
      </c>
      <c r="D26" s="2">
        <v>6000000</v>
      </c>
      <c r="E26" s="2"/>
      <c r="F26" s="2"/>
      <c r="G26" s="2"/>
      <c r="H26" s="2"/>
      <c r="I26" s="2"/>
      <c r="J26" s="2"/>
      <c r="K26" s="2"/>
      <c r="L26" t="str">
        <f>VLOOKUP(B26,players!A:B,2)</f>
        <v>Ron Holland</v>
      </c>
    </row>
    <row r="27" spans="1:12" x14ac:dyDescent="0.25">
      <c r="A27">
        <v>13</v>
      </c>
      <c r="B27">
        <v>252</v>
      </c>
      <c r="C27">
        <v>1</v>
      </c>
      <c r="D27" s="2">
        <v>1000000</v>
      </c>
      <c r="E27" s="2"/>
      <c r="F27" s="2">
        <v>1000000</v>
      </c>
      <c r="G27" s="2" t="s">
        <v>472</v>
      </c>
      <c r="H27" s="2"/>
      <c r="I27" s="2"/>
      <c r="J27" s="2"/>
      <c r="K27" s="2"/>
      <c r="L27" t="str">
        <f>VLOOKUP(B27,players!A:B,2)</f>
        <v>Devin Carter</v>
      </c>
    </row>
    <row r="28" spans="1:12" x14ac:dyDescent="0.25">
      <c r="A28">
        <v>13</v>
      </c>
      <c r="B28">
        <v>414</v>
      </c>
      <c r="C28">
        <v>2</v>
      </c>
      <c r="D28" s="2">
        <v>3600000</v>
      </c>
      <c r="E28" s="2"/>
      <c r="F28" s="2">
        <v>3800000</v>
      </c>
      <c r="G28" s="2" t="s">
        <v>472</v>
      </c>
      <c r="H28" s="2">
        <v>4100000</v>
      </c>
      <c r="I28" s="2" t="s">
        <v>472</v>
      </c>
      <c r="J28" s="2"/>
      <c r="K28" s="2"/>
      <c r="L28" t="str">
        <f>VLOOKUP(B28,players!A:B,2)</f>
        <v>Kaman Maluach</v>
      </c>
    </row>
    <row r="29" spans="1:12" x14ac:dyDescent="0.25">
      <c r="A29">
        <v>13</v>
      </c>
      <c r="B29">
        <v>241</v>
      </c>
      <c r="C29">
        <v>3</v>
      </c>
      <c r="D29" s="2">
        <v>8500000</v>
      </c>
      <c r="E29" s="2"/>
      <c r="F29" s="2">
        <v>9250000</v>
      </c>
      <c r="G29" s="2" t="s">
        <v>472</v>
      </c>
      <c r="H29" s="2">
        <v>10000000</v>
      </c>
      <c r="I29" s="2" t="s">
        <v>472</v>
      </c>
      <c r="J29" s="2"/>
      <c r="K29" s="2"/>
      <c r="L29" t="str">
        <f>VLOOKUP(B29,players!A:B,2)</f>
        <v>Dylan Harper</v>
      </c>
    </row>
    <row r="30" spans="1:12" x14ac:dyDescent="0.25">
      <c r="A30">
        <v>14</v>
      </c>
      <c r="B30">
        <v>273</v>
      </c>
      <c r="C30">
        <v>1</v>
      </c>
      <c r="D30" s="2">
        <v>3200000</v>
      </c>
      <c r="E30" s="2"/>
      <c r="F30" s="2">
        <v>3500000</v>
      </c>
      <c r="G30" s="2"/>
      <c r="H30" s="2"/>
      <c r="I30" s="2"/>
      <c r="J30" s="2"/>
      <c r="K30" s="2"/>
      <c r="L30" t="str">
        <f>VLOOKUP(B30,players!A:B,2)</f>
        <v>Cason Wallace</v>
      </c>
    </row>
    <row r="31" spans="1:12" x14ac:dyDescent="0.25">
      <c r="A31">
        <v>14</v>
      </c>
      <c r="B31">
        <v>259</v>
      </c>
      <c r="C31">
        <v>2</v>
      </c>
      <c r="D31" s="2">
        <v>1000000</v>
      </c>
      <c r="E31" s="2"/>
      <c r="F31" s="2"/>
      <c r="G31" s="2"/>
      <c r="H31" s="2"/>
      <c r="I31" s="2"/>
      <c r="J31" s="2"/>
      <c r="K31" s="2"/>
      <c r="L31" t="str">
        <f>VLOOKUP(B31,players!A:B,2)</f>
        <v>Jaylen Wells</v>
      </c>
    </row>
    <row r="32" spans="1:12" x14ac:dyDescent="0.25">
      <c r="A32">
        <v>14</v>
      </c>
      <c r="B32">
        <v>415</v>
      </c>
      <c r="C32">
        <v>3</v>
      </c>
      <c r="D32" s="2">
        <v>3800000</v>
      </c>
      <c r="E32" s="2"/>
      <c r="F32" s="2">
        <v>4000000</v>
      </c>
      <c r="G32" s="2" t="s">
        <v>472</v>
      </c>
      <c r="H32" s="2">
        <v>4200000</v>
      </c>
      <c r="I32" s="2" t="s">
        <v>472</v>
      </c>
      <c r="J32" s="2"/>
      <c r="K32" s="2"/>
      <c r="L32" t="str">
        <f>VLOOKUP(B32,players!A:B,2)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2026-06-23T23:12:26Z</dcterms:modified>
</cp:coreProperties>
</file>