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Evolucoes/Fantasy unificado/"/>
    </mc:Choice>
  </mc:AlternateContent>
  <xr:revisionPtr revIDLastSave="90" documentId="11_C9A9D9B2D1F41C577D71D6D20FCB10DCD9AF004A" xr6:coauthVersionLast="47" xr6:coauthVersionMax="47" xr10:uidLastSave="{A8CEADB7-D625-4CA9-8123-BD4FA2F3FDF8}"/>
  <bookViews>
    <workbookView xWindow="-120" yWindow="-120" windowWidth="29040" windowHeight="16440" firstSheet="3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0" l="1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</calcChain>
</file>

<file path=xl/sharedStrings.xml><?xml version="1.0" encoding="utf-8"?>
<sst xmlns="http://schemas.openxmlformats.org/spreadsheetml/2006/main" count="1870" uniqueCount="698">
  <si>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</si>
  <si>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</si>
  <si>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</si>
  <si>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</si>
  <si>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</si>
  <si>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</si>
  <si>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</si>
  <si>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</si>
  <si>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</si>
  <si>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</si>
  <si>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</si>
  <si>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</si>
  <si>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</si>
  <si>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</si>
  <si>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</si>
  <si>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</si>
  <si>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</si>
  <si>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</si>
  <si>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</si>
  <si>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</si>
  <si>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</si>
  <si>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</si>
  <si>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</si>
  <si>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</si>
  <si>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</si>
  <si>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</si>
  <si>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</si>
  <si>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</si>
  <si>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</si>
  <si>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</si>
  <si>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</si>
  <si>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</si>
  <si>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</si>
  <si>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</si>
  <si>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</si>
  <si>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</si>
  <si>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</si>
  <si>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</si>
  <si>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</si>
  <si>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</si>
  <si>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</si>
  <si>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</si>
  <si>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</si>
  <si>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</si>
  <si>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</si>
  <si>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</si>
  <si>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</si>
  <si>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</si>
  <si>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</si>
  <si>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</si>
  <si>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</si>
  <si>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</si>
  <si>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</si>
  <si>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</si>
  <si>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</si>
  <si>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</si>
  <si>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</si>
  <si>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</si>
  <si>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</si>
  <si>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</si>
  <si>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</si>
  <si>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</si>
  <si>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</si>
  <si>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</si>
  <si>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</si>
  <si>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</si>
  <si>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</si>
  <si>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</si>
  <si>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</si>
  <si>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</si>
  <si>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</si>
  <si>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</si>
  <si>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</si>
  <si>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</si>
  <si>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</si>
  <si>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</si>
  <si>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</si>
  <si>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</si>
  <si>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</si>
  <si>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</si>
  <si>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</si>
  <si>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</si>
  <si>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</si>
  <si>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</si>
  <si>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</si>
  <si>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</si>
  <si>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</si>
  <si>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</si>
  <si>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</si>
  <si>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</si>
  <si>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</si>
  <si>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</si>
  <si>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</si>
  <si>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</si>
  <si>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</si>
  <si>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</si>
  <si>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</si>
  <si>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</si>
  <si>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</si>
  <si>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</si>
  <si>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</si>
  <si>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</si>
  <si>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</si>
  <si>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</si>
  <si>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</si>
  <si>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</si>
  <si>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</si>
  <si>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</si>
  <si>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</si>
  <si>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</si>
  <si>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</si>
  <si>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</si>
  <si>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</si>
  <si>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</si>
  <si>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</si>
  <si>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</si>
  <si>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</si>
  <si>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</si>
  <si>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</si>
  <si>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</si>
  <si>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</si>
  <si>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</si>
  <si>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</si>
  <si>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</si>
  <si>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</si>
  <si>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</si>
  <si>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</si>
  <si>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</si>
  <si>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</si>
  <si>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</si>
  <si>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</si>
  <si>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</si>
  <si>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</si>
  <si>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</si>
  <si>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</si>
  <si>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</si>
  <si>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</si>
  <si>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</si>
  <si>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</si>
  <si>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</si>
  <si>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</si>
  <si>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</si>
  <si>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</si>
  <si>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</si>
  <si>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</si>
  <si>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</si>
  <si>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</si>
  <si>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</si>
  <si>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</si>
  <si>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</si>
  <si>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</si>
  <si>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</si>
  <si>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</si>
  <si>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</si>
  <si>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</si>
  <si>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</si>
  <si>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</si>
  <si>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</si>
  <si>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</si>
  <si>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</si>
  <si>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</si>
  <si>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</si>
  <si>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</si>
  <si>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</si>
  <si>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</si>
  <si>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</si>
  <si>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</si>
  <si>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</si>
  <si>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</si>
  <si>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</si>
  <si>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</si>
  <si>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</si>
  <si>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</si>
  <si>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</si>
  <si>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</si>
  <si>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</si>
  <si>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</si>
  <si>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</si>
  <si>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</si>
  <si>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</si>
  <si>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</si>
  <si>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</si>
  <si>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</si>
  <si>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</si>
  <si>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</si>
  <si>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</si>
  <si>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</si>
  <si>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</si>
  <si>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</si>
  <si>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</si>
  <si>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</si>
  <si>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</si>
  <si>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</si>
  <si>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</si>
  <si>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</si>
  <si>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</si>
  <si>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</si>
  <si>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</si>
  <si>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</si>
  <si>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</si>
  <si>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</si>
  <si>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</si>
  <si>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</si>
  <si>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</si>
  <si>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</si>
  <si>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</si>
  <si>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</si>
  <si>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</si>
  <si>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</si>
  <si>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</si>
  <si>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</si>
  <si>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</si>
  <si>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</si>
  <si>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</si>
  <si>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</si>
  <si>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</si>
  <si>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</si>
  <si>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</si>
  <si>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</si>
  <si>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</si>
  <si>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</si>
  <si>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</si>
  <si>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</si>
  <si>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</si>
  <si>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</si>
  <si>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</si>
  <si>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</si>
  <si>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</si>
  <si>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</si>
  <si>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</si>
  <si>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</si>
  <si>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</si>
  <si>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</si>
  <si>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</si>
  <si>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</si>
  <si>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</si>
  <si>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</si>
  <si>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</si>
  <si>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</si>
  <si>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</si>
  <si>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</si>
  <si>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</si>
  <si>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</si>
  <si>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</si>
  <si>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</si>
  <si>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</si>
  <si>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</si>
  <si>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</si>
  <si>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</si>
  <si>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</si>
  <si>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</si>
  <si>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</si>
  <si>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</si>
  <si>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</si>
  <si>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</si>
  <si>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</si>
  <si>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</si>
  <si>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</si>
  <si>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</si>
  <si>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</si>
  <si>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</si>
  <si>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</si>
  <si>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</si>
  <si>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</si>
  <si>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</si>
  <si>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</si>
  <si>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</si>
  <si>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</si>
  <si>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</si>
  <si>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</si>
  <si>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</si>
  <si>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</si>
  <si>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</si>
  <si>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</si>
  <si>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</si>
  <si>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</si>
  <si>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</si>
  <si>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</si>
  <si>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</si>
  <si>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</si>
  <si>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</si>
  <si>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</si>
  <si>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</si>
  <si>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</si>
  <si>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</si>
  <si>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</si>
  <si>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</si>
  <si>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</si>
  <si>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</si>
  <si>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</si>
  <si>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</si>
  <si>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</si>
  <si>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</si>
  <si>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</si>
  <si>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</si>
  <si>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</si>
  <si>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</si>
  <si>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</si>
  <si>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</si>
  <si>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</si>
  <si>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</si>
  <si>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</si>
  <si>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</si>
  <si>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</si>
  <si>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</si>
  <si>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</si>
  <si>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</si>
  <si>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</si>
  <si>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</si>
  <si>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</si>
  <si>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</si>
  <si>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</si>
  <si>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</si>
  <si>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</si>
  <si>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</si>
  <si>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</si>
  <si>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</si>
  <si>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</si>
  <si>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</si>
  <si>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</si>
  <si>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</si>
  <si>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</si>
  <si>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</si>
  <si>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</si>
  <si>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</si>
  <si>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</si>
  <si>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</si>
  <si>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</si>
  <si>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</si>
  <si>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</si>
  <si>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</si>
  <si>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</si>
  <si>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</si>
  <si>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</si>
  <si>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</si>
  <si>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</si>
  <si>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</si>
  <si>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</si>
  <si>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</si>
  <si>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</si>
  <si>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</si>
  <si>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</si>
  <si>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</si>
  <si>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</si>
  <si>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</si>
  <si>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</si>
  <si>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</si>
  <si>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</si>
  <si>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</si>
  <si>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</si>
  <si>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</si>
  <si>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</si>
  <si>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</si>
  <si>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</si>
  <si>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</si>
  <si>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</si>
  <si>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</si>
  <si>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</si>
  <si>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</si>
  <si>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</si>
  <si>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</si>
  <si>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</si>
  <si>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</si>
  <si>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</si>
  <si>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</si>
  <si>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</si>
  <si>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</si>
  <si>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</si>
  <si>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</si>
  <si>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</si>
  <si>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</si>
  <si>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</si>
  <si>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</si>
  <si>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</si>
  <si>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</si>
  <si>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</si>
  <si>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</si>
  <si>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</si>
  <si>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</si>
  <si>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</si>
  <si>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</si>
  <si>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</si>
  <si>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</si>
  <si>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</si>
  <si>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</si>
  <si>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</si>
  <si>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</si>
  <si>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</si>
  <si>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</si>
  <si>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</si>
  <si>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</si>
  <si>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</si>
  <si>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</si>
  <si>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</si>
  <si>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</si>
  <si>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</si>
  <si>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</si>
  <si>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</si>
  <si>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</si>
  <si>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</si>
  <si>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</si>
  <si>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</si>
  <si>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</si>
  <si>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</si>
  <si>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</si>
  <si>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</si>
  <si>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</si>
  <si>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</si>
  <si>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</si>
  <si>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</si>
  <si>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</si>
  <si>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</si>
  <si>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</si>
  <si>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</si>
  <si>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</si>
  <si>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</si>
  <si>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</si>
  <si>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</si>
  <si>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</si>
  <si>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</si>
  <si>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</si>
  <si>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</si>
  <si>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</si>
  <si>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</si>
  <si>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</si>
  <si>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</si>
  <si>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</si>
  <si>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</si>
  <si>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</si>
  <si>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</si>
  <si>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</si>
  <si>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</si>
  <si>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</si>
  <si>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</si>
  <si>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</si>
  <si>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</si>
  <si>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</si>
  <si>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</si>
  <si>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</si>
  <si>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</si>
  <si>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</si>
  <si>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</si>
  <si>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</si>
  <si>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</si>
  <si>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</si>
  <si>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</si>
  <si>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</si>
  <si>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</si>
  <si>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</si>
  <si>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</si>
  <si>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</si>
  <si>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</si>
  <si>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</si>
  <si>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</si>
  <si>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</si>
  <si>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</si>
  <si>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</si>
  <si>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</si>
  <si>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</si>
  <si>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</si>
  <si>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</si>
  <si>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</si>
  <si>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</si>
  <si>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</si>
  <si>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</si>
  <si>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</si>
  <si>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</si>
  <si>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</si>
  <si>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</si>
  <si>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</si>
  <si>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</si>
  <si>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</si>
  <si>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</si>
  <si>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</si>
  <si>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</si>
  <si>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</si>
  <si>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</si>
  <si>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</si>
  <si>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</si>
  <si>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</si>
  <si>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</si>
  <si>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</si>
  <si>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</si>
  <si>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</si>
  <si>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</si>
  <si>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</si>
  <si>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</si>
  <si>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</si>
  <si>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</si>
  <si>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</si>
  <si>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</si>
  <si>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</si>
  <si>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</si>
  <si>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</si>
  <si>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</si>
  <si>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</si>
  <si>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</si>
  <si>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</si>
  <si>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</si>
  <si>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</si>
  <si>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</si>
  <si>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</si>
  <si>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</si>
  <si>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</si>
  <si>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</si>
  <si>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</si>
  <si>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</si>
  <si>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</si>
  <si>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</si>
  <si>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</si>
  <si>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</si>
  <si>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</si>
  <si>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</si>
  <si>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</si>
  <si>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</si>
  <si>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</si>
  <si>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</si>
  <si>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</si>
  <si>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</si>
  <si>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</si>
  <si>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</si>
  <si>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</si>
  <si>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</si>
  <si>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</si>
  <si>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</si>
  <si>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</si>
  <si>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</si>
  <si>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</si>
  <si>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</si>
  <si>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</si>
  <si>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</si>
  <si>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</si>
  <si>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</si>
  <si>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</si>
  <si>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</si>
  <si>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</si>
  <si>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</si>
  <si>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</si>
  <si>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</si>
  <si>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</si>
  <si>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</si>
  <si>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</si>
  <si>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</si>
  <si>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</si>
  <si>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</si>
  <si>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</si>
  <si>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transactiondate</t>
  </si>
  <si>
    <t>fromteamid</t>
  </si>
  <si>
    <t>toteamid</t>
  </si>
  <si>
    <t>initiatedby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</si>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</sst>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K1" t="s">
        <v>487</v>
      </c>
    </row>
    <row r="2" spans="1:11" x14ac:dyDescent="0.25">
      <c r="A2">
        <v>1</v>
      </c>
      <c r="B2" t="s">
        <v>488</v>
      </c>
    </row>
    <row r="3" spans="1:11" x14ac:dyDescent="0.25">
      <c r="A3">
        <v>2</v>
      </c>
      <c r="B3" t="s">
        <v>489</v>
      </c>
    </row>
    <row r="4" spans="1:11" x14ac:dyDescent="0.25">
      <c r="A4">
        <v>3</v>
      </c>
      <c r="B4" t="s">
        <v>490</v>
      </c>
    </row>
    <row r="5" spans="1:11" x14ac:dyDescent="0.25">
      <c r="A5">
        <v>4</v>
      </c>
      <c r="B5" t="s">
        <v>491</v>
      </c>
    </row>
    <row r="6" spans="1:11" x14ac:dyDescent="0.25">
      <c r="A6">
        <v>5</v>
      </c>
      <c r="B6" t="s">
        <v>492</v>
      </c>
    </row>
    <row r="7" spans="1:11" x14ac:dyDescent="0.25">
      <c r="A7">
        <v>6</v>
      </c>
      <c r="B7" t="s">
        <v>493</v>
      </c>
    </row>
    <row r="8" spans="1:11" x14ac:dyDescent="0.25">
      <c r="A8">
        <v>7</v>
      </c>
      <c r="B8" t="s">
        <v>494</v>
      </c>
    </row>
    <row r="9" spans="1:11" x14ac:dyDescent="0.25">
      <c r="A9">
        <v>8</v>
      </c>
      <c r="B9" t="s">
        <v>495</v>
      </c>
    </row>
    <row r="10" spans="1:11" x14ac:dyDescent="0.25">
      <c r="A10">
        <v>9</v>
      </c>
      <c r="B10" t="s">
        <v>496</v>
      </c>
    </row>
    <row r="11" spans="1:11" x14ac:dyDescent="0.25">
      <c r="A11">
        <v>10</v>
      </c>
      <c r="B11" t="s">
        <v>497</v>
      </c>
    </row>
    <row r="12" spans="1:11" x14ac:dyDescent="0.25">
      <c r="A12">
        <v>11</v>
      </c>
      <c r="B12" t="s">
        <v>498</v>
      </c>
    </row>
    <row r="13" spans="1:11" x14ac:dyDescent="0.25">
      <c r="A13">
        <v>12</v>
      </c>
      <c r="B13" t="s">
        <v>499</v>
      </c>
    </row>
    <row r="14" spans="1:11" x14ac:dyDescent="0.25">
      <c r="A14">
        <v>13</v>
      </c>
      <c r="B14" t="s">
        <v>500</v>
      </c>
    </row>
    <row r="15" spans="1:11" x14ac:dyDescent="0.25">
      <c r="A15">
        <v>14</v>
      </c>
      <c r="B15" t="s">
        <v>501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502</v>
      </c>
      <c r="D1" t="s">
        <v>503</v>
      </c>
      <c r="E1" t="s">
        <v>504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505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505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505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505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505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505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505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505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505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505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505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505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505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505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506</v>
      </c>
      <c r="C1" s="2" t="s">
        <v>507</v>
      </c>
      <c r="D1" s="2" t="s">
        <v>508</v>
      </c>
      <c r="E1" s="2" t="s">
        <v>509</v>
      </c>
      <c r="F1" s="2" t="s">
        <v>510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23</v>
      </c>
      <c r="I1" t="s">
        <v>510</v>
      </c>
    </row>
    <row r="2" spans="1:10" x14ac:dyDescent="0.25">
      <c r="B2" t="s">
        <v>518</v>
      </c>
      <c r="G2" t="s">
        <v>519</v>
      </c>
    </row>
    <row r="3" spans="1:10" x14ac:dyDescent="0.25">
      <c r="B3" t="s">
        <v>520</v>
      </c>
    </row>
    <row r="4" spans="1:10" x14ac:dyDescent="0.25">
      <c r="B4" t="s">
        <v>521</v>
      </c>
    </row>
    <row r="5" spans="1:10" x14ac:dyDescent="0.25">
      <c r="B5" t="s">
        <v>522</v>
      </c>
    </row>
    <row r="6" spans="1:10" x14ac:dyDescent="0.25">
      <c r="B6" t="s">
        <v>523</v>
      </c>
    </row>
    <row r="7" spans="1:10" x14ac:dyDescent="0.25">
      <c r="B7" t="s">
        <v>524</v>
      </c>
    </row>
    <row r="10" spans="1:10" x14ac:dyDescent="0.25">
      <c r="A10" t="s">
        <v>525</v>
      </c>
      <c r="B10" t="s">
        <v>526</v>
      </c>
      <c r="C10" t="s">
        <v>527</v>
      </c>
      <c r="D10" t="s">
        <v>528</v>
      </c>
      <c r="E10" t="s">
        <v>515</v>
      </c>
      <c r="F10" t="s">
        <v>516</v>
      </c>
      <c r="G10" t="s">
        <v>529</v>
      </c>
      <c r="H10" t="s">
        <v>530</v>
      </c>
      <c r="I10" t="s">
        <v>531</v>
      </c>
      <c r="J10" t="s">
        <v>532</v>
      </c>
    </row>
    <row r="11" spans="1:10" x14ac:dyDescent="0.25">
      <c r="C11" t="s">
        <v>533</v>
      </c>
      <c r="D11">
        <v>247</v>
      </c>
      <c r="G11" t="s">
        <v>534</v>
      </c>
      <c r="H11" t="s">
        <v>534</v>
      </c>
    </row>
    <row r="12" spans="1:10" x14ac:dyDescent="0.25">
      <c r="C12" t="s">
        <v>535</v>
      </c>
      <c r="D12" t="s">
        <v>536</v>
      </c>
      <c r="G12" t="s">
        <v>537</v>
      </c>
      <c r="H12" t="s">
        <v>537</v>
      </c>
    </row>
    <row r="13" spans="1:10" x14ac:dyDescent="0.25">
      <c r="G13" t="s">
        <v>538</v>
      </c>
      <c r="H13" t="s">
        <v>538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tabSelected="1" workbookViewId="0">
      <selection activeCell="A16" sqref="A16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545</v>
      </c>
    </row>
    <row r="2" spans="1:7" ht="14.25" customHeight="1" x14ac:dyDescent="0.25">
      <c r="A2">
        <v>1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>
        <v>2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>
        <v>3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>
        <v>4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>
        <v>5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>
        <v>6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>
        <v>7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>
        <v>8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>
        <v>9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>
        <v>10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>
        <v>11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>
        <v>12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>
        <v>13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>
        <v>14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3"/>
  <sheetViews>
    <sheetView workbookViewId="0">
      <selection activeCell="G22" sqref="G22"/>
    </sheetView>
  </sheetViews>
  <sheetFormatPr defaultRowHeight="15" x14ac:dyDescent="0.25"/>
  <cols>
    <col min="3" max="3" width="17.28515625" bestFit="1" customWidth="1"/>
  </cols>
  <sheetData>
    <row r="1" spans="1:10" x14ac:dyDescent="0.25">
      <c r="A1" t="s">
        <v>511</v>
      </c>
      <c r="B1" t="s">
        <v>512</v>
      </c>
      <c r="C1" t="s">
        <v>546</v>
      </c>
      <c r="D1" t="s">
        <v>514</v>
      </c>
      <c r="E1" t="s">
        <v>547</v>
      </c>
      <c r="F1" t="s">
        <v>548</v>
      </c>
      <c r="G1" t="s">
        <v>549</v>
      </c>
      <c r="H1" t="s">
        <v>23</v>
      </c>
      <c r="I1" t="s">
        <v>510</v>
      </c>
      <c r="J1" t="s">
        <v>525</v>
      </c>
    </row>
    <row r="2" spans="1:10" x14ac:dyDescent="0.25">
      <c r="A2">
        <v>13</v>
      </c>
      <c r="B2" t="s">
        <v>520</v>
      </c>
      <c r="C2" t="s">
        <v>560</v>
      </c>
      <c r="D2" t="s">
        <v>550</v>
      </c>
      <c r="E2">
        <v>5</v>
      </c>
      <c r="F2">
        <v>7</v>
      </c>
      <c r="G2" t="s">
        <v>551</v>
      </c>
      <c r="H2" t="s">
        <v>552</v>
      </c>
    </row>
    <row r="3" spans="1:10" x14ac:dyDescent="0.25">
      <c r="A3">
        <v>14</v>
      </c>
      <c r="B3" t="s">
        <v>520</v>
      </c>
      <c r="C3" t="s">
        <v>560</v>
      </c>
      <c r="D3" t="s">
        <v>550</v>
      </c>
      <c r="E3">
        <v>7</v>
      </c>
      <c r="F3">
        <v>5</v>
      </c>
      <c r="G3" t="s">
        <v>551</v>
      </c>
      <c r="H3" t="s">
        <v>552</v>
      </c>
    </row>
    <row r="4" spans="1:10" x14ac:dyDescent="0.25">
      <c r="A4">
        <v>15</v>
      </c>
      <c r="B4" t="s">
        <v>518</v>
      </c>
      <c r="C4" t="s">
        <v>560</v>
      </c>
      <c r="D4" t="s">
        <v>550</v>
      </c>
      <c r="E4">
        <v>5</v>
      </c>
      <c r="F4">
        <v>10</v>
      </c>
      <c r="G4" t="s">
        <v>551</v>
      </c>
      <c r="H4" t="s">
        <v>552</v>
      </c>
    </row>
    <row r="5" spans="1:10" x14ac:dyDescent="0.25">
      <c r="A5">
        <v>16</v>
      </c>
      <c r="B5" t="s">
        <v>518</v>
      </c>
      <c r="C5" t="s">
        <v>560</v>
      </c>
      <c r="D5" t="s">
        <v>550</v>
      </c>
      <c r="E5">
        <v>10</v>
      </c>
      <c r="F5">
        <v>5</v>
      </c>
      <c r="G5" t="s">
        <v>551</v>
      </c>
      <c r="H5" t="s">
        <v>552</v>
      </c>
    </row>
    <row r="6" spans="1:10" x14ac:dyDescent="0.25">
      <c r="A6">
        <v>17</v>
      </c>
      <c r="B6" t="s">
        <v>518</v>
      </c>
      <c r="C6" t="s">
        <v>560</v>
      </c>
      <c r="D6" t="s">
        <v>550</v>
      </c>
      <c r="E6">
        <v>5</v>
      </c>
      <c r="F6">
        <v>14</v>
      </c>
      <c r="G6" t="s">
        <v>551</v>
      </c>
      <c r="H6" t="s">
        <v>552</v>
      </c>
    </row>
    <row r="7" spans="1:10" x14ac:dyDescent="0.25">
      <c r="A7">
        <v>18</v>
      </c>
      <c r="B7" t="s">
        <v>518</v>
      </c>
      <c r="C7" t="s">
        <v>560</v>
      </c>
      <c r="D7" t="s">
        <v>550</v>
      </c>
      <c r="E7">
        <v>14</v>
      </c>
      <c r="F7">
        <v>5</v>
      </c>
      <c r="G7" t="s">
        <v>551</v>
      </c>
      <c r="H7" t="s">
        <v>552</v>
      </c>
    </row>
    <row r="8" spans="1:10" x14ac:dyDescent="0.25">
      <c r="A8">
        <v>19</v>
      </c>
      <c r="B8" t="s">
        <v>518</v>
      </c>
      <c r="C8" t="s">
        <v>560</v>
      </c>
      <c r="D8" t="s">
        <v>550</v>
      </c>
      <c r="E8">
        <v>12</v>
      </c>
      <c r="F8">
        <v>7</v>
      </c>
      <c r="G8" t="s">
        <v>553</v>
      </c>
      <c r="H8" t="s">
        <v>552</v>
      </c>
    </row>
    <row r="9" spans="1:10" x14ac:dyDescent="0.25">
      <c r="A9">
        <v>20</v>
      </c>
      <c r="B9" t="s">
        <v>518</v>
      </c>
      <c r="C9" t="s">
        <v>560</v>
      </c>
      <c r="D9" t="s">
        <v>550</v>
      </c>
      <c r="E9">
        <v>7</v>
      </c>
      <c r="F9">
        <v>12</v>
      </c>
      <c r="G9" t="s">
        <v>553</v>
      </c>
      <c r="H9" t="s">
        <v>552</v>
      </c>
    </row>
    <row r="10" spans="1:10" x14ac:dyDescent="0.25">
      <c r="A10">
        <v>21</v>
      </c>
      <c r="B10" t="s">
        <v>518</v>
      </c>
      <c r="C10" t="s">
        <v>560</v>
      </c>
      <c r="D10" t="s">
        <v>550</v>
      </c>
      <c r="E10">
        <v>5</v>
      </c>
      <c r="F10">
        <v>14</v>
      </c>
      <c r="G10" t="s">
        <v>551</v>
      </c>
      <c r="H10" t="s">
        <v>552</v>
      </c>
    </row>
    <row r="11" spans="1:10" x14ac:dyDescent="0.25">
      <c r="A11">
        <v>22</v>
      </c>
      <c r="B11" t="s">
        <v>518</v>
      </c>
      <c r="C11" t="s">
        <v>560</v>
      </c>
      <c r="D11" t="s">
        <v>550</v>
      </c>
      <c r="E11">
        <v>14</v>
      </c>
      <c r="F11">
        <v>5</v>
      </c>
      <c r="G11" t="s">
        <v>551</v>
      </c>
      <c r="H11" t="s">
        <v>552</v>
      </c>
    </row>
    <row r="12" spans="1:10" x14ac:dyDescent="0.25">
      <c r="A12">
        <v>23</v>
      </c>
      <c r="B12" t="s">
        <v>518</v>
      </c>
      <c r="C12" t="s">
        <v>560</v>
      </c>
      <c r="D12" t="s">
        <v>550</v>
      </c>
      <c r="E12">
        <v>14</v>
      </c>
      <c r="F12">
        <v>13</v>
      </c>
      <c r="G12" t="s">
        <v>554</v>
      </c>
      <c r="H12" t="s">
        <v>552</v>
      </c>
    </row>
    <row r="13" spans="1:10" x14ac:dyDescent="0.25">
      <c r="A13">
        <v>24</v>
      </c>
      <c r="B13" t="s">
        <v>518</v>
      </c>
      <c r="C13" t="s">
        <v>560</v>
      </c>
      <c r="D13" t="s">
        <v>550</v>
      </c>
      <c r="E13">
        <v>13</v>
      </c>
      <c r="F13">
        <v>14</v>
      </c>
      <c r="G13" t="s">
        <v>554</v>
      </c>
      <c r="H13" t="s">
        <v>552</v>
      </c>
    </row>
    <row r="14" spans="1:10" x14ac:dyDescent="0.25">
      <c r="A14">
        <v>25</v>
      </c>
      <c r="B14" t="s">
        <v>518</v>
      </c>
      <c r="C14" t="s">
        <v>560</v>
      </c>
      <c r="D14" t="s">
        <v>550</v>
      </c>
      <c r="E14">
        <v>14</v>
      </c>
      <c r="F14">
        <v>11</v>
      </c>
      <c r="G14" t="s">
        <v>555</v>
      </c>
      <c r="H14" t="s">
        <v>552</v>
      </c>
    </row>
    <row r="15" spans="1:10" x14ac:dyDescent="0.25">
      <c r="A15">
        <v>26</v>
      </c>
      <c r="B15" t="s">
        <v>518</v>
      </c>
      <c r="C15" t="s">
        <v>560</v>
      </c>
      <c r="D15" t="s">
        <v>550</v>
      </c>
      <c r="E15">
        <v>11</v>
      </c>
      <c r="F15">
        <v>14</v>
      </c>
      <c r="G15" t="s">
        <v>555</v>
      </c>
      <c r="H15" t="s">
        <v>552</v>
      </c>
    </row>
    <row r="16" spans="1:10" x14ac:dyDescent="0.25">
      <c r="A16">
        <v>27</v>
      </c>
      <c r="B16" t="s">
        <v>518</v>
      </c>
      <c r="C16" t="s">
        <v>560</v>
      </c>
      <c r="D16" t="s">
        <v>550</v>
      </c>
      <c r="E16">
        <v>14</v>
      </c>
      <c r="F16">
        <v>6</v>
      </c>
      <c r="G16" t="s">
        <v>556</v>
      </c>
      <c r="H16" t="s">
        <v>552</v>
      </c>
    </row>
    <row r="17" spans="1:8" x14ac:dyDescent="0.25">
      <c r="A17">
        <v>28</v>
      </c>
      <c r="B17" t="s">
        <v>518</v>
      </c>
      <c r="C17" t="s">
        <v>560</v>
      </c>
      <c r="D17" t="s">
        <v>550</v>
      </c>
      <c r="E17">
        <v>6</v>
      </c>
      <c r="F17">
        <v>14</v>
      </c>
      <c r="G17" t="s">
        <v>556</v>
      </c>
      <c r="H17" t="s">
        <v>552</v>
      </c>
    </row>
    <row r="18" spans="1:8" x14ac:dyDescent="0.25">
      <c r="A18">
        <v>29</v>
      </c>
      <c r="B18" t="s">
        <v>518</v>
      </c>
      <c r="C18" t="s">
        <v>560</v>
      </c>
      <c r="D18" t="s">
        <v>550</v>
      </c>
      <c r="E18">
        <v>13</v>
      </c>
      <c r="F18">
        <v>5</v>
      </c>
      <c r="G18" t="s">
        <v>551</v>
      </c>
      <c r="H18" t="s">
        <v>552</v>
      </c>
    </row>
    <row r="19" spans="1:8" x14ac:dyDescent="0.25">
      <c r="A19">
        <v>30</v>
      </c>
      <c r="B19" t="s">
        <v>518</v>
      </c>
      <c r="C19" t="s">
        <v>560</v>
      </c>
      <c r="D19" t="s">
        <v>550</v>
      </c>
      <c r="E19">
        <v>5</v>
      </c>
      <c r="F19">
        <v>13</v>
      </c>
      <c r="G19" t="s">
        <v>551</v>
      </c>
      <c r="H19" t="s">
        <v>552</v>
      </c>
    </row>
    <row r="20" spans="1:8" x14ac:dyDescent="0.25">
      <c r="A20">
        <v>31</v>
      </c>
      <c r="B20" t="s">
        <v>518</v>
      </c>
      <c r="C20" t="s">
        <v>560</v>
      </c>
      <c r="D20" t="s">
        <v>550</v>
      </c>
      <c r="E20">
        <v>14</v>
      </c>
      <c r="F20">
        <v>5</v>
      </c>
      <c r="G20" t="s">
        <v>551</v>
      </c>
      <c r="H20" t="s">
        <v>552</v>
      </c>
    </row>
    <row r="21" spans="1:8" x14ac:dyDescent="0.25">
      <c r="A21">
        <v>32</v>
      </c>
      <c r="B21" t="s">
        <v>518</v>
      </c>
      <c r="C21" t="s">
        <v>560</v>
      </c>
      <c r="D21" t="s">
        <v>550</v>
      </c>
      <c r="E21">
        <v>5</v>
      </c>
      <c r="F21">
        <v>14</v>
      </c>
      <c r="G21" t="s">
        <v>551</v>
      </c>
      <c r="H21" t="s">
        <v>552</v>
      </c>
    </row>
    <row r="22" spans="1:8" x14ac:dyDescent="0.25">
      <c r="A22">
        <v>33</v>
      </c>
      <c r="B22" t="s">
        <v>518</v>
      </c>
      <c r="C22" t="s">
        <v>560</v>
      </c>
      <c r="D22" t="s">
        <v>550</v>
      </c>
      <c r="E22">
        <v>2</v>
      </c>
      <c r="F22">
        <v>5</v>
      </c>
      <c r="G22" t="s">
        <v>551</v>
      </c>
      <c r="H22" t="s">
        <v>552</v>
      </c>
    </row>
    <row r="23" spans="1:8" x14ac:dyDescent="0.25">
      <c r="A23">
        <v>34</v>
      </c>
      <c r="B23" t="s">
        <v>518</v>
      </c>
      <c r="C23" t="s">
        <v>560</v>
      </c>
      <c r="D23" t="s">
        <v>550</v>
      </c>
      <c r="E23">
        <v>5</v>
      </c>
      <c r="F23">
        <v>2</v>
      </c>
      <c r="G23" t="s">
        <v>551</v>
      </c>
      <c r="H23" t="s">
        <v>552</v>
      </c>
    </row>
    <row r="24" spans="1:8" x14ac:dyDescent="0.25">
      <c r="A24">
        <v>35</v>
      </c>
      <c r="B24" t="s">
        <v>522</v>
      </c>
      <c r="C24" t="s">
        <v>560</v>
      </c>
      <c r="D24" t="s">
        <v>550</v>
      </c>
      <c r="E24">
        <v>5</v>
      </c>
      <c r="F24">
        <v>5</v>
      </c>
      <c r="G24" t="s">
        <v>551</v>
      </c>
      <c r="H24" t="s">
        <v>552</v>
      </c>
    </row>
    <row r="25" spans="1:8" x14ac:dyDescent="0.25">
      <c r="A25">
        <v>36</v>
      </c>
      <c r="B25" t="s">
        <v>522</v>
      </c>
      <c r="C25" t="s">
        <v>560</v>
      </c>
      <c r="D25" t="s">
        <v>550</v>
      </c>
      <c r="E25">
        <v>13</v>
      </c>
      <c r="F25">
        <v>13</v>
      </c>
      <c r="G25" t="s">
        <v>557</v>
      </c>
      <c r="H25" t="s">
        <v>552</v>
      </c>
    </row>
    <row r="26" spans="1:8" x14ac:dyDescent="0.25">
      <c r="A26">
        <v>37</v>
      </c>
      <c r="B26" t="s">
        <v>522</v>
      </c>
      <c r="C26" t="s">
        <v>560</v>
      </c>
      <c r="D26" t="s">
        <v>550</v>
      </c>
      <c r="E26">
        <v>14</v>
      </c>
      <c r="F26">
        <v>14</v>
      </c>
      <c r="G26" t="s">
        <v>554</v>
      </c>
      <c r="H26" t="s">
        <v>552</v>
      </c>
    </row>
    <row r="27" spans="1:8" x14ac:dyDescent="0.25">
      <c r="A27">
        <v>38</v>
      </c>
      <c r="B27" t="s">
        <v>522</v>
      </c>
      <c r="C27" t="s">
        <v>560</v>
      </c>
      <c r="D27" t="s">
        <v>550</v>
      </c>
      <c r="E27">
        <v>5</v>
      </c>
      <c r="F27">
        <v>5</v>
      </c>
      <c r="G27" t="s">
        <v>551</v>
      </c>
      <c r="H27" t="s">
        <v>552</v>
      </c>
    </row>
    <row r="28" spans="1:8" x14ac:dyDescent="0.25">
      <c r="A28">
        <v>39</v>
      </c>
      <c r="B28" t="s">
        <v>521</v>
      </c>
      <c r="C28" t="s">
        <v>560</v>
      </c>
      <c r="D28" t="s">
        <v>550</v>
      </c>
      <c r="E28">
        <v>14</v>
      </c>
      <c r="F28">
        <v>14</v>
      </c>
      <c r="G28" t="s">
        <v>554</v>
      </c>
      <c r="H28" t="s">
        <v>552</v>
      </c>
    </row>
    <row r="29" spans="1:8" x14ac:dyDescent="0.25">
      <c r="A29">
        <v>40</v>
      </c>
      <c r="B29" t="s">
        <v>522</v>
      </c>
      <c r="C29" t="s">
        <v>560</v>
      </c>
      <c r="D29" t="s">
        <v>550</v>
      </c>
      <c r="E29">
        <v>2</v>
      </c>
      <c r="F29">
        <v>2</v>
      </c>
      <c r="G29" t="s">
        <v>558</v>
      </c>
      <c r="H29" t="s">
        <v>552</v>
      </c>
    </row>
    <row r="30" spans="1:8" x14ac:dyDescent="0.25">
      <c r="A30">
        <v>41</v>
      </c>
      <c r="B30" t="s">
        <v>523</v>
      </c>
      <c r="C30" t="s">
        <v>560</v>
      </c>
      <c r="D30" t="s">
        <v>550</v>
      </c>
      <c r="E30">
        <v>5</v>
      </c>
      <c r="F30" t="s">
        <v>538</v>
      </c>
      <c r="G30" t="s">
        <v>551</v>
      </c>
      <c r="H30" t="s">
        <v>552</v>
      </c>
    </row>
    <row r="31" spans="1:8" x14ac:dyDescent="0.25">
      <c r="A31">
        <v>42</v>
      </c>
      <c r="B31" t="s">
        <v>523</v>
      </c>
      <c r="C31" t="s">
        <v>560</v>
      </c>
      <c r="D31" t="s">
        <v>550</v>
      </c>
      <c r="E31">
        <v>13</v>
      </c>
      <c r="F31" t="s">
        <v>538</v>
      </c>
      <c r="G31" t="s">
        <v>557</v>
      </c>
      <c r="H31" t="s">
        <v>552</v>
      </c>
    </row>
    <row r="32" spans="1:8" x14ac:dyDescent="0.25">
      <c r="A32">
        <v>1</v>
      </c>
      <c r="B32" t="s">
        <v>559</v>
      </c>
      <c r="C32" t="s">
        <v>560</v>
      </c>
      <c r="D32" t="s">
        <v>561</v>
      </c>
      <c r="E32">
        <v>6</v>
      </c>
      <c r="F32">
        <v>1</v>
      </c>
      <c r="G32" t="s">
        <v>562</v>
      </c>
      <c r="H32" t="s">
        <v>563</v>
      </c>
    </row>
    <row r="33" spans="1:10" x14ac:dyDescent="0.25">
      <c r="A33">
        <v>2</v>
      </c>
      <c r="B33" t="s">
        <v>559</v>
      </c>
      <c r="C33" t="s">
        <v>560</v>
      </c>
      <c r="D33" t="s">
        <v>561</v>
      </c>
      <c r="E33">
        <v>6</v>
      </c>
      <c r="F33">
        <v>1</v>
      </c>
      <c r="G33" t="s">
        <v>562</v>
      </c>
      <c r="H33" t="s">
        <v>563</v>
      </c>
    </row>
    <row r="34" spans="1:10" x14ac:dyDescent="0.25">
      <c r="A34">
        <v>3</v>
      </c>
      <c r="B34" t="s">
        <v>522</v>
      </c>
      <c r="C34" t="s">
        <v>560</v>
      </c>
      <c r="D34" t="s">
        <v>561</v>
      </c>
      <c r="E34">
        <v>7</v>
      </c>
      <c r="F34">
        <v>7</v>
      </c>
      <c r="G34" t="s">
        <v>562</v>
      </c>
      <c r="H34" t="s">
        <v>563</v>
      </c>
    </row>
    <row r="35" spans="1:10" x14ac:dyDescent="0.25">
      <c r="A35">
        <v>4</v>
      </c>
      <c r="B35" t="s">
        <v>559</v>
      </c>
      <c r="C35" t="s">
        <v>564</v>
      </c>
      <c r="D35" t="s">
        <v>561</v>
      </c>
      <c r="E35">
        <v>7</v>
      </c>
      <c r="F35">
        <v>5</v>
      </c>
      <c r="G35" t="s">
        <v>562</v>
      </c>
      <c r="H35" t="s">
        <v>563</v>
      </c>
    </row>
    <row r="36" spans="1:10" x14ac:dyDescent="0.25">
      <c r="A36">
        <v>5</v>
      </c>
      <c r="B36" t="s">
        <v>522</v>
      </c>
      <c r="C36" t="s">
        <v>560</v>
      </c>
      <c r="D36" t="s">
        <v>561</v>
      </c>
      <c r="E36">
        <v>7</v>
      </c>
      <c r="F36">
        <v>7</v>
      </c>
      <c r="G36" t="s">
        <v>562</v>
      </c>
      <c r="H36" t="s">
        <v>563</v>
      </c>
    </row>
    <row r="37" spans="1:10" x14ac:dyDescent="0.25">
      <c r="A37">
        <v>6</v>
      </c>
      <c r="B37" t="s">
        <v>521</v>
      </c>
      <c r="C37" t="s">
        <v>560</v>
      </c>
      <c r="D37" t="s">
        <v>561</v>
      </c>
      <c r="E37">
        <v>2</v>
      </c>
      <c r="F37">
        <v>2</v>
      </c>
      <c r="G37" t="s">
        <v>562</v>
      </c>
      <c r="H37" t="s">
        <v>563</v>
      </c>
    </row>
    <row r="38" spans="1:10" x14ac:dyDescent="0.25">
      <c r="A38">
        <v>7</v>
      </c>
      <c r="B38" t="s">
        <v>565</v>
      </c>
      <c r="C38" t="s">
        <v>564</v>
      </c>
      <c r="D38" t="s">
        <v>561</v>
      </c>
      <c r="E38">
        <v>7</v>
      </c>
      <c r="F38">
        <v>7</v>
      </c>
      <c r="G38" t="s">
        <v>562</v>
      </c>
      <c r="H38" t="s">
        <v>563</v>
      </c>
    </row>
    <row r="39" spans="1:10" x14ac:dyDescent="0.25">
      <c r="A39">
        <v>8</v>
      </c>
      <c r="B39" t="s">
        <v>565</v>
      </c>
      <c r="C39" t="s">
        <v>564</v>
      </c>
      <c r="D39" t="s">
        <v>561</v>
      </c>
      <c r="E39">
        <v>7</v>
      </c>
      <c r="F39">
        <v>7</v>
      </c>
      <c r="G39" t="s">
        <v>562</v>
      </c>
      <c r="H39" t="s">
        <v>563</v>
      </c>
    </row>
    <row r="40" spans="1:10" x14ac:dyDescent="0.25">
      <c r="A40">
        <v>9</v>
      </c>
      <c r="B40" t="s">
        <v>559</v>
      </c>
      <c r="C40" t="s">
        <v>566</v>
      </c>
      <c r="D40" t="s">
        <v>561</v>
      </c>
      <c r="E40">
        <v>2</v>
      </c>
      <c r="F40">
        <v>13</v>
      </c>
      <c r="G40" t="s">
        <v>562</v>
      </c>
      <c r="H40" t="s">
        <v>563</v>
      </c>
    </row>
    <row r="41" spans="1:10" x14ac:dyDescent="0.25">
      <c r="A41">
        <v>10</v>
      </c>
      <c r="B41" t="s">
        <v>567</v>
      </c>
      <c r="C41" t="s">
        <v>568</v>
      </c>
      <c r="D41" t="s">
        <v>561</v>
      </c>
      <c r="E41">
        <v>6</v>
      </c>
      <c r="G41" t="s">
        <v>562</v>
      </c>
      <c r="H41" t="s">
        <v>563</v>
      </c>
      <c r="J41">
        <v>1</v>
      </c>
    </row>
    <row r="42" spans="1:10" x14ac:dyDescent="0.25">
      <c r="A42">
        <v>11</v>
      </c>
      <c r="B42" t="s">
        <v>567</v>
      </c>
      <c r="C42" t="s">
        <v>568</v>
      </c>
      <c r="D42" t="s">
        <v>561</v>
      </c>
      <c r="E42">
        <v>7</v>
      </c>
      <c r="G42" t="s">
        <v>562</v>
      </c>
      <c r="H42" t="s">
        <v>563</v>
      </c>
      <c r="J42">
        <v>2</v>
      </c>
    </row>
    <row r="43" spans="1:10" x14ac:dyDescent="0.25">
      <c r="A43">
        <v>12</v>
      </c>
      <c r="B43" t="s">
        <v>569</v>
      </c>
      <c r="C43" t="s">
        <v>570</v>
      </c>
      <c r="D43" t="s">
        <v>561</v>
      </c>
      <c r="E43">
        <v>6</v>
      </c>
      <c r="F43">
        <v>6</v>
      </c>
      <c r="G43" t="s">
        <v>562</v>
      </c>
      <c r="H43" t="s">
        <v>563</v>
      </c>
      <c r="J43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4"/>
  <sheetViews>
    <sheetView workbookViewId="0">
      <selection activeCell="E49" sqref="E49"/>
    </sheetView>
  </sheetViews>
  <sheetFormatPr defaultRowHeight="15" x14ac:dyDescent="0.25"/>
  <sheetData>
    <row r="1" spans="1:14" x14ac:dyDescent="0.25">
      <c r="A1" t="s">
        <v>525</v>
      </c>
      <c r="B1" t="s">
        <v>526</v>
      </c>
      <c r="C1" t="s">
        <v>527</v>
      </c>
      <c r="D1" t="s">
        <v>528</v>
      </c>
      <c r="E1" t="s">
        <v>515</v>
      </c>
      <c r="F1" t="s">
        <v>516</v>
      </c>
      <c r="G1" t="s">
        <v>529</v>
      </c>
      <c r="H1" t="s">
        <v>530</v>
      </c>
      <c r="I1" t="s">
        <v>531</v>
      </c>
      <c r="J1" t="s">
        <v>532</v>
      </c>
      <c r="L1" t="s">
        <v>571</v>
      </c>
      <c r="M1" t="s">
        <v>572</v>
      </c>
      <c r="N1" t="s">
        <v>573</v>
      </c>
    </row>
    <row r="2" spans="1:14" x14ac:dyDescent="0.25">
      <c r="A2">
        <v>13</v>
      </c>
      <c r="B2" t="s">
        <v>574</v>
      </c>
      <c r="C2" t="s">
        <v>575</v>
      </c>
      <c r="D2" t="s">
        <v>574</v>
      </c>
      <c r="E2">
        <v>5</v>
      </c>
      <c r="F2">
        <v>7</v>
      </c>
      <c r="G2" t="s">
        <v>538</v>
      </c>
      <c r="H2" t="s">
        <v>538</v>
      </c>
      <c r="I2" t="s">
        <v>550</v>
      </c>
    </row>
    <row r="3" spans="1:14" x14ac:dyDescent="0.25">
      <c r="A3">
        <v>13</v>
      </c>
      <c r="B3" t="s">
        <v>576</v>
      </c>
      <c r="C3" t="s">
        <v>575</v>
      </c>
      <c r="D3" t="s">
        <v>576</v>
      </c>
      <c r="E3">
        <v>7</v>
      </c>
      <c r="F3">
        <v>5</v>
      </c>
      <c r="G3" t="s">
        <v>538</v>
      </c>
      <c r="H3" t="s">
        <v>538</v>
      </c>
      <c r="I3" t="s">
        <v>550</v>
      </c>
    </row>
    <row r="4" spans="1:14" x14ac:dyDescent="0.25">
      <c r="A4">
        <v>14</v>
      </c>
      <c r="B4" t="s">
        <v>577</v>
      </c>
      <c r="C4" t="s">
        <v>575</v>
      </c>
      <c r="D4" t="s">
        <v>577</v>
      </c>
      <c r="E4">
        <v>7</v>
      </c>
      <c r="F4">
        <v>5</v>
      </c>
      <c r="G4" t="s">
        <v>538</v>
      </c>
      <c r="H4" t="s">
        <v>538</v>
      </c>
      <c r="I4" t="s">
        <v>550</v>
      </c>
    </row>
    <row r="5" spans="1:14" x14ac:dyDescent="0.25">
      <c r="A5">
        <v>16</v>
      </c>
      <c r="B5" t="s">
        <v>578</v>
      </c>
      <c r="C5" t="s">
        <v>575</v>
      </c>
      <c r="D5" t="s">
        <v>578</v>
      </c>
      <c r="E5">
        <v>10</v>
      </c>
      <c r="F5">
        <v>5</v>
      </c>
      <c r="G5" t="s">
        <v>538</v>
      </c>
      <c r="H5" t="s">
        <v>538</v>
      </c>
      <c r="I5" t="s">
        <v>550</v>
      </c>
    </row>
    <row r="6" spans="1:14" x14ac:dyDescent="0.25">
      <c r="A6">
        <v>15</v>
      </c>
      <c r="B6">
        <v>9</v>
      </c>
      <c r="C6" t="s">
        <v>579</v>
      </c>
      <c r="D6">
        <v>9</v>
      </c>
      <c r="E6">
        <v>5</v>
      </c>
      <c r="F6">
        <v>10</v>
      </c>
      <c r="G6" t="s">
        <v>580</v>
      </c>
      <c r="H6" t="s">
        <v>580</v>
      </c>
      <c r="I6" t="s">
        <v>550</v>
      </c>
    </row>
    <row r="7" spans="1:14" x14ac:dyDescent="0.25">
      <c r="A7">
        <v>18</v>
      </c>
      <c r="B7">
        <v>219</v>
      </c>
      <c r="C7" t="s">
        <v>579</v>
      </c>
      <c r="D7">
        <v>219</v>
      </c>
      <c r="E7">
        <v>14</v>
      </c>
      <c r="F7">
        <v>5</v>
      </c>
      <c r="G7" t="s">
        <v>580</v>
      </c>
      <c r="H7" t="s">
        <v>580</v>
      </c>
      <c r="I7" t="s">
        <v>550</v>
      </c>
    </row>
    <row r="8" spans="1:14" x14ac:dyDescent="0.25">
      <c r="A8">
        <v>17</v>
      </c>
      <c r="B8">
        <v>220</v>
      </c>
      <c r="C8" t="s">
        <v>579</v>
      </c>
      <c r="D8">
        <v>220</v>
      </c>
      <c r="E8">
        <v>5</v>
      </c>
      <c r="F8">
        <v>14</v>
      </c>
      <c r="G8" t="s">
        <v>580</v>
      </c>
      <c r="H8" t="s">
        <v>580</v>
      </c>
      <c r="I8" t="s">
        <v>550</v>
      </c>
    </row>
    <row r="9" spans="1:14" x14ac:dyDescent="0.25">
      <c r="A9">
        <v>20</v>
      </c>
      <c r="B9">
        <v>194</v>
      </c>
      <c r="C9" t="s">
        <v>579</v>
      </c>
      <c r="D9">
        <v>194</v>
      </c>
      <c r="E9">
        <v>7</v>
      </c>
      <c r="F9">
        <v>12</v>
      </c>
      <c r="G9" t="s">
        <v>580</v>
      </c>
      <c r="H9" t="s">
        <v>580</v>
      </c>
      <c r="I9" t="s">
        <v>550</v>
      </c>
    </row>
    <row r="10" spans="1:14" x14ac:dyDescent="0.25">
      <c r="A10">
        <v>19</v>
      </c>
      <c r="B10">
        <v>158</v>
      </c>
      <c r="C10" t="s">
        <v>579</v>
      </c>
      <c r="D10">
        <v>158</v>
      </c>
      <c r="E10">
        <v>12</v>
      </c>
      <c r="F10">
        <v>7</v>
      </c>
      <c r="G10" t="s">
        <v>580</v>
      </c>
      <c r="H10" t="s">
        <v>580</v>
      </c>
      <c r="I10" t="s">
        <v>550</v>
      </c>
    </row>
    <row r="11" spans="1:14" x14ac:dyDescent="0.25">
      <c r="A11">
        <v>19</v>
      </c>
      <c r="B11">
        <v>247</v>
      </c>
      <c r="C11" t="s">
        <v>579</v>
      </c>
      <c r="D11">
        <v>247</v>
      </c>
      <c r="E11">
        <v>12</v>
      </c>
      <c r="F11">
        <v>7</v>
      </c>
      <c r="G11" t="s">
        <v>580</v>
      </c>
      <c r="H11" t="s">
        <v>580</v>
      </c>
      <c r="I11" t="s">
        <v>550</v>
      </c>
    </row>
    <row r="12" spans="1:14" x14ac:dyDescent="0.25">
      <c r="A12">
        <v>19</v>
      </c>
      <c r="B12">
        <v>88</v>
      </c>
      <c r="C12" t="s">
        <v>579</v>
      </c>
      <c r="D12">
        <v>88</v>
      </c>
      <c r="E12">
        <v>12</v>
      </c>
      <c r="F12">
        <v>7</v>
      </c>
      <c r="G12" t="s">
        <v>580</v>
      </c>
      <c r="H12" t="s">
        <v>580</v>
      </c>
      <c r="I12" t="s">
        <v>550</v>
      </c>
    </row>
    <row r="13" spans="1:14" x14ac:dyDescent="0.25">
      <c r="A13">
        <v>21</v>
      </c>
      <c r="B13">
        <v>2</v>
      </c>
      <c r="C13" t="s">
        <v>579</v>
      </c>
      <c r="D13">
        <v>2</v>
      </c>
      <c r="E13">
        <v>5</v>
      </c>
      <c r="F13">
        <v>14</v>
      </c>
      <c r="G13" t="s">
        <v>580</v>
      </c>
      <c r="H13" t="s">
        <v>580</v>
      </c>
      <c r="I13" t="s">
        <v>550</v>
      </c>
    </row>
    <row r="14" spans="1:14" x14ac:dyDescent="0.25">
      <c r="A14">
        <v>22</v>
      </c>
      <c r="B14">
        <v>152</v>
      </c>
      <c r="C14" t="s">
        <v>579</v>
      </c>
      <c r="D14">
        <v>152</v>
      </c>
      <c r="E14">
        <v>14</v>
      </c>
      <c r="F14">
        <v>5</v>
      </c>
      <c r="G14" t="s">
        <v>580</v>
      </c>
      <c r="H14" t="s">
        <v>580</v>
      </c>
      <c r="I14" t="s">
        <v>550</v>
      </c>
    </row>
    <row r="15" spans="1:14" x14ac:dyDescent="0.25">
      <c r="A15">
        <v>21</v>
      </c>
      <c r="B15" t="s">
        <v>581</v>
      </c>
      <c r="C15" t="s">
        <v>575</v>
      </c>
      <c r="D15" t="s">
        <v>581</v>
      </c>
      <c r="E15">
        <v>5</v>
      </c>
      <c r="F15">
        <v>14</v>
      </c>
      <c r="G15" t="s">
        <v>538</v>
      </c>
      <c r="H15" t="s">
        <v>538</v>
      </c>
      <c r="I15" t="s">
        <v>550</v>
      </c>
    </row>
    <row r="16" spans="1:14" x14ac:dyDescent="0.25">
      <c r="A16">
        <v>22</v>
      </c>
      <c r="B16" t="s">
        <v>582</v>
      </c>
      <c r="C16" t="s">
        <v>575</v>
      </c>
      <c r="D16" t="s">
        <v>582</v>
      </c>
      <c r="E16">
        <v>14</v>
      </c>
      <c r="F16">
        <v>5</v>
      </c>
      <c r="G16" t="s">
        <v>538</v>
      </c>
      <c r="H16" t="s">
        <v>538</v>
      </c>
      <c r="I16" t="s">
        <v>550</v>
      </c>
    </row>
    <row r="17" spans="1:9" x14ac:dyDescent="0.25">
      <c r="A17">
        <v>23</v>
      </c>
      <c r="B17" t="s">
        <v>583</v>
      </c>
      <c r="C17" t="s">
        <v>575</v>
      </c>
      <c r="D17" t="s">
        <v>583</v>
      </c>
      <c r="E17">
        <v>14</v>
      </c>
      <c r="F17">
        <v>13</v>
      </c>
      <c r="G17" t="s">
        <v>538</v>
      </c>
      <c r="H17" t="s">
        <v>538</v>
      </c>
      <c r="I17" t="s">
        <v>550</v>
      </c>
    </row>
    <row r="18" spans="1:9" x14ac:dyDescent="0.25">
      <c r="A18">
        <v>23</v>
      </c>
      <c r="B18" t="s">
        <v>584</v>
      </c>
      <c r="C18" t="s">
        <v>575</v>
      </c>
      <c r="D18" t="s">
        <v>584</v>
      </c>
      <c r="E18">
        <v>14</v>
      </c>
      <c r="F18">
        <v>13</v>
      </c>
      <c r="G18" t="s">
        <v>538</v>
      </c>
      <c r="H18" t="s">
        <v>538</v>
      </c>
      <c r="I18" t="s">
        <v>550</v>
      </c>
    </row>
    <row r="19" spans="1:9" x14ac:dyDescent="0.25">
      <c r="A19">
        <v>24</v>
      </c>
      <c r="B19">
        <v>73</v>
      </c>
      <c r="C19" t="s">
        <v>579</v>
      </c>
      <c r="D19">
        <v>73</v>
      </c>
      <c r="E19">
        <v>13</v>
      </c>
      <c r="F19">
        <v>14</v>
      </c>
      <c r="G19" t="s">
        <v>580</v>
      </c>
      <c r="H19" t="s">
        <v>580</v>
      </c>
      <c r="I19" t="s">
        <v>550</v>
      </c>
    </row>
    <row r="20" spans="1:9" x14ac:dyDescent="0.25">
      <c r="A20">
        <v>23</v>
      </c>
      <c r="B20">
        <v>241</v>
      </c>
      <c r="C20" t="s">
        <v>579</v>
      </c>
      <c r="D20">
        <v>241</v>
      </c>
      <c r="E20">
        <v>14</v>
      </c>
      <c r="F20">
        <v>13</v>
      </c>
      <c r="G20" t="s">
        <v>580</v>
      </c>
      <c r="H20" t="s">
        <v>580</v>
      </c>
      <c r="I20" t="s">
        <v>550</v>
      </c>
    </row>
    <row r="21" spans="1:9" x14ac:dyDescent="0.25">
      <c r="A21">
        <v>23</v>
      </c>
      <c r="B21">
        <v>121</v>
      </c>
      <c r="C21" t="s">
        <v>579</v>
      </c>
      <c r="D21">
        <v>121</v>
      </c>
      <c r="E21">
        <v>14</v>
      </c>
      <c r="F21">
        <v>13</v>
      </c>
      <c r="G21" t="s">
        <v>580</v>
      </c>
      <c r="H21" t="s">
        <v>580</v>
      </c>
      <c r="I21" t="s">
        <v>550</v>
      </c>
    </row>
    <row r="22" spans="1:9" x14ac:dyDescent="0.25">
      <c r="A22">
        <v>25</v>
      </c>
      <c r="B22">
        <v>177</v>
      </c>
      <c r="C22" t="s">
        <v>579</v>
      </c>
      <c r="D22">
        <v>177</v>
      </c>
      <c r="E22">
        <v>14</v>
      </c>
      <c r="F22">
        <v>11</v>
      </c>
      <c r="G22" t="s">
        <v>580</v>
      </c>
      <c r="H22" t="s">
        <v>580</v>
      </c>
      <c r="I22" t="s">
        <v>550</v>
      </c>
    </row>
    <row r="23" spans="1:9" x14ac:dyDescent="0.25">
      <c r="A23">
        <v>26</v>
      </c>
      <c r="B23">
        <v>66</v>
      </c>
      <c r="C23" t="s">
        <v>579</v>
      </c>
      <c r="D23">
        <v>66</v>
      </c>
      <c r="E23">
        <v>11</v>
      </c>
      <c r="F23">
        <v>14</v>
      </c>
      <c r="G23" t="s">
        <v>580</v>
      </c>
      <c r="H23" t="s">
        <v>580</v>
      </c>
      <c r="I23" t="s">
        <v>550</v>
      </c>
    </row>
    <row r="24" spans="1:9" x14ac:dyDescent="0.25">
      <c r="A24">
        <v>28</v>
      </c>
      <c r="B24">
        <v>145</v>
      </c>
      <c r="C24" t="s">
        <v>579</v>
      </c>
      <c r="D24">
        <v>145</v>
      </c>
      <c r="E24">
        <v>6</v>
      </c>
      <c r="F24">
        <v>14</v>
      </c>
      <c r="G24" t="s">
        <v>580</v>
      </c>
      <c r="H24" t="s">
        <v>580</v>
      </c>
      <c r="I24" t="s">
        <v>550</v>
      </c>
    </row>
    <row r="25" spans="1:9" x14ac:dyDescent="0.25">
      <c r="A25">
        <v>27</v>
      </c>
      <c r="B25">
        <v>56</v>
      </c>
      <c r="C25" t="s">
        <v>579</v>
      </c>
      <c r="D25">
        <v>56</v>
      </c>
      <c r="E25">
        <v>14</v>
      </c>
      <c r="F25">
        <v>6</v>
      </c>
      <c r="G25" t="s">
        <v>580</v>
      </c>
      <c r="H25" t="s">
        <v>580</v>
      </c>
      <c r="I25" t="s">
        <v>550</v>
      </c>
    </row>
    <row r="26" spans="1:9" x14ac:dyDescent="0.25">
      <c r="A26">
        <v>27</v>
      </c>
      <c r="B26">
        <v>93</v>
      </c>
      <c r="C26" t="s">
        <v>579</v>
      </c>
      <c r="D26">
        <v>93</v>
      </c>
      <c r="E26">
        <v>14</v>
      </c>
      <c r="F26">
        <v>6</v>
      </c>
      <c r="G26" t="s">
        <v>580</v>
      </c>
      <c r="H26" t="s">
        <v>580</v>
      </c>
      <c r="I26" t="s">
        <v>550</v>
      </c>
    </row>
    <row r="27" spans="1:9" x14ac:dyDescent="0.25">
      <c r="A27">
        <v>27</v>
      </c>
      <c r="B27">
        <v>161</v>
      </c>
      <c r="C27" t="s">
        <v>579</v>
      </c>
      <c r="D27">
        <v>161</v>
      </c>
      <c r="E27">
        <v>14</v>
      </c>
      <c r="F27">
        <v>6</v>
      </c>
      <c r="G27" t="s">
        <v>580</v>
      </c>
      <c r="H27" t="s">
        <v>580</v>
      </c>
      <c r="I27" t="s">
        <v>550</v>
      </c>
    </row>
    <row r="28" spans="1:9" x14ac:dyDescent="0.25">
      <c r="A28">
        <v>27</v>
      </c>
      <c r="B28" t="s">
        <v>582</v>
      </c>
      <c r="C28" t="s">
        <v>575</v>
      </c>
      <c r="D28" t="s">
        <v>582</v>
      </c>
      <c r="E28">
        <v>14</v>
      </c>
      <c r="F28">
        <v>6</v>
      </c>
      <c r="G28" t="s">
        <v>538</v>
      </c>
      <c r="H28" t="s">
        <v>538</v>
      </c>
      <c r="I28" t="s">
        <v>550</v>
      </c>
    </row>
    <row r="29" spans="1:9" x14ac:dyDescent="0.25">
      <c r="A29">
        <v>29</v>
      </c>
      <c r="B29" t="s">
        <v>583</v>
      </c>
      <c r="C29" t="s">
        <v>575</v>
      </c>
      <c r="D29" t="s">
        <v>583</v>
      </c>
      <c r="E29">
        <v>13</v>
      </c>
      <c r="F29">
        <v>5</v>
      </c>
      <c r="G29" t="s">
        <v>538</v>
      </c>
      <c r="H29" t="s">
        <v>538</v>
      </c>
      <c r="I29" t="s">
        <v>550</v>
      </c>
    </row>
    <row r="30" spans="1:9" x14ac:dyDescent="0.25">
      <c r="A30">
        <v>29</v>
      </c>
      <c r="B30" t="s">
        <v>584</v>
      </c>
      <c r="C30" t="s">
        <v>575</v>
      </c>
      <c r="D30" t="s">
        <v>584</v>
      </c>
      <c r="E30">
        <v>13</v>
      </c>
      <c r="F30">
        <v>5</v>
      </c>
      <c r="G30" t="s">
        <v>538</v>
      </c>
      <c r="H30" t="s">
        <v>538</v>
      </c>
      <c r="I30" t="s">
        <v>550</v>
      </c>
    </row>
    <row r="31" spans="1:9" x14ac:dyDescent="0.25">
      <c r="A31">
        <v>30</v>
      </c>
      <c r="B31" t="s">
        <v>576</v>
      </c>
      <c r="C31" t="s">
        <v>575</v>
      </c>
      <c r="D31" t="s">
        <v>576</v>
      </c>
      <c r="E31">
        <v>5</v>
      </c>
      <c r="F31">
        <v>13</v>
      </c>
      <c r="G31" t="s">
        <v>538</v>
      </c>
      <c r="H31" t="s">
        <v>538</v>
      </c>
      <c r="I31" t="s">
        <v>550</v>
      </c>
    </row>
    <row r="32" spans="1:9" x14ac:dyDescent="0.25">
      <c r="A32">
        <v>29</v>
      </c>
      <c r="B32">
        <v>409</v>
      </c>
      <c r="C32" t="s">
        <v>579</v>
      </c>
      <c r="D32">
        <v>409</v>
      </c>
      <c r="E32">
        <v>13</v>
      </c>
      <c r="F32">
        <v>5</v>
      </c>
      <c r="G32" t="s">
        <v>580</v>
      </c>
      <c r="H32" t="s">
        <v>580</v>
      </c>
      <c r="I32" t="s">
        <v>550</v>
      </c>
    </row>
    <row r="33" spans="1:9" x14ac:dyDescent="0.25">
      <c r="A33">
        <v>29</v>
      </c>
      <c r="B33">
        <v>48</v>
      </c>
      <c r="C33" t="s">
        <v>579</v>
      </c>
      <c r="D33">
        <v>48</v>
      </c>
      <c r="E33">
        <v>13</v>
      </c>
      <c r="F33">
        <v>5</v>
      </c>
      <c r="G33" t="s">
        <v>580</v>
      </c>
      <c r="H33" t="s">
        <v>580</v>
      </c>
      <c r="I33" t="s">
        <v>550</v>
      </c>
    </row>
    <row r="34" spans="1:9" x14ac:dyDescent="0.25">
      <c r="A34">
        <v>30</v>
      </c>
      <c r="B34">
        <v>414</v>
      </c>
      <c r="C34" t="s">
        <v>579</v>
      </c>
      <c r="D34">
        <v>414</v>
      </c>
      <c r="E34">
        <v>5</v>
      </c>
      <c r="F34">
        <v>13</v>
      </c>
      <c r="G34" t="s">
        <v>580</v>
      </c>
      <c r="H34" t="s">
        <v>580</v>
      </c>
      <c r="I34" t="s">
        <v>550</v>
      </c>
    </row>
    <row r="35" spans="1:9" x14ac:dyDescent="0.25">
      <c r="A35">
        <v>32</v>
      </c>
      <c r="B35">
        <v>238</v>
      </c>
      <c r="C35" t="s">
        <v>579</v>
      </c>
      <c r="D35">
        <v>238</v>
      </c>
      <c r="E35">
        <v>5</v>
      </c>
      <c r="F35">
        <v>14</v>
      </c>
      <c r="G35" t="s">
        <v>580</v>
      </c>
      <c r="H35" t="s">
        <v>580</v>
      </c>
      <c r="I35" t="s">
        <v>550</v>
      </c>
    </row>
    <row r="36" spans="1:9" x14ac:dyDescent="0.25">
      <c r="A36">
        <v>31</v>
      </c>
      <c r="B36">
        <v>133</v>
      </c>
      <c r="C36" t="s">
        <v>579</v>
      </c>
      <c r="D36">
        <v>133</v>
      </c>
      <c r="E36">
        <v>14</v>
      </c>
      <c r="F36">
        <v>5</v>
      </c>
      <c r="G36" t="s">
        <v>580</v>
      </c>
      <c r="H36" t="s">
        <v>580</v>
      </c>
      <c r="I36" t="s">
        <v>550</v>
      </c>
    </row>
    <row r="37" spans="1:9" x14ac:dyDescent="0.25">
      <c r="A37">
        <v>33</v>
      </c>
      <c r="B37">
        <v>143</v>
      </c>
      <c r="C37" t="s">
        <v>579</v>
      </c>
      <c r="D37">
        <v>143</v>
      </c>
      <c r="E37">
        <v>2</v>
      </c>
      <c r="F37">
        <v>5</v>
      </c>
      <c r="G37" t="s">
        <v>580</v>
      </c>
      <c r="H37" t="s">
        <v>580</v>
      </c>
      <c r="I37" t="s">
        <v>550</v>
      </c>
    </row>
    <row r="38" spans="1:9" x14ac:dyDescent="0.25">
      <c r="A38">
        <v>33</v>
      </c>
      <c r="B38">
        <v>72</v>
      </c>
      <c r="C38" t="s">
        <v>579</v>
      </c>
      <c r="D38">
        <v>72</v>
      </c>
      <c r="E38">
        <v>2</v>
      </c>
      <c r="F38">
        <v>5</v>
      </c>
      <c r="G38" t="s">
        <v>580</v>
      </c>
      <c r="H38" t="s">
        <v>580</v>
      </c>
      <c r="I38" t="s">
        <v>550</v>
      </c>
    </row>
    <row r="39" spans="1:9" x14ac:dyDescent="0.25">
      <c r="A39">
        <v>34</v>
      </c>
      <c r="B39">
        <v>219</v>
      </c>
      <c r="C39" t="s">
        <v>579</v>
      </c>
      <c r="D39">
        <v>219</v>
      </c>
      <c r="E39">
        <v>5</v>
      </c>
      <c r="F39">
        <v>2</v>
      </c>
      <c r="G39" t="s">
        <v>580</v>
      </c>
      <c r="H39" t="s">
        <v>580</v>
      </c>
      <c r="I39" t="s">
        <v>550</v>
      </c>
    </row>
    <row r="40" spans="1:9" x14ac:dyDescent="0.25">
      <c r="A40">
        <v>34</v>
      </c>
      <c r="B40">
        <v>49</v>
      </c>
      <c r="C40" t="s">
        <v>579</v>
      </c>
      <c r="D40">
        <v>49</v>
      </c>
      <c r="E40">
        <v>5</v>
      </c>
      <c r="F40">
        <v>2</v>
      </c>
      <c r="G40" t="s">
        <v>580</v>
      </c>
      <c r="H40" t="s">
        <v>580</v>
      </c>
      <c r="I40" t="s">
        <v>550</v>
      </c>
    </row>
    <row r="41" spans="1:9" x14ac:dyDescent="0.25">
      <c r="A41">
        <v>34</v>
      </c>
      <c r="B41" t="s">
        <v>577</v>
      </c>
      <c r="C41" t="s">
        <v>575</v>
      </c>
      <c r="D41" t="s">
        <v>577</v>
      </c>
      <c r="E41">
        <v>5</v>
      </c>
      <c r="F41">
        <v>2</v>
      </c>
      <c r="G41" t="s">
        <v>538</v>
      </c>
      <c r="H41" t="s">
        <v>538</v>
      </c>
      <c r="I41" t="s">
        <v>550</v>
      </c>
    </row>
    <row r="42" spans="1:9" x14ac:dyDescent="0.25">
      <c r="A42">
        <v>35</v>
      </c>
      <c r="B42">
        <v>92</v>
      </c>
      <c r="C42" t="s">
        <v>579</v>
      </c>
      <c r="D42">
        <v>92</v>
      </c>
      <c r="E42">
        <v>5</v>
      </c>
      <c r="F42">
        <v>5</v>
      </c>
      <c r="G42" t="s">
        <v>580</v>
      </c>
      <c r="H42" t="s">
        <v>585</v>
      </c>
      <c r="I42" t="s">
        <v>550</v>
      </c>
    </row>
    <row r="43" spans="1:9" x14ac:dyDescent="0.25">
      <c r="A43">
        <v>36</v>
      </c>
      <c r="B43">
        <v>241</v>
      </c>
      <c r="C43" t="s">
        <v>579</v>
      </c>
      <c r="D43">
        <v>241</v>
      </c>
      <c r="E43">
        <v>13</v>
      </c>
      <c r="F43">
        <v>13</v>
      </c>
      <c r="G43" t="s">
        <v>580</v>
      </c>
      <c r="H43" t="s">
        <v>585</v>
      </c>
      <c r="I43" t="s">
        <v>550</v>
      </c>
    </row>
    <row r="44" spans="1:9" x14ac:dyDescent="0.25">
      <c r="A44">
        <v>37</v>
      </c>
      <c r="B44">
        <v>259</v>
      </c>
      <c r="C44" t="s">
        <v>579</v>
      </c>
      <c r="D44">
        <v>259</v>
      </c>
      <c r="E44">
        <v>14</v>
      </c>
      <c r="F44">
        <v>14</v>
      </c>
      <c r="G44" t="s">
        <v>580</v>
      </c>
      <c r="H44" t="s">
        <v>585</v>
      </c>
      <c r="I44" t="s">
        <v>550</v>
      </c>
    </row>
    <row r="45" spans="1:9" x14ac:dyDescent="0.25">
      <c r="A45">
        <v>38</v>
      </c>
      <c r="B45">
        <v>133</v>
      </c>
      <c r="C45" t="s">
        <v>579</v>
      </c>
      <c r="D45">
        <v>133</v>
      </c>
      <c r="E45">
        <v>5</v>
      </c>
      <c r="F45">
        <v>5</v>
      </c>
      <c r="G45" t="s">
        <v>580</v>
      </c>
      <c r="H45" t="s">
        <v>585</v>
      </c>
      <c r="I45" t="s">
        <v>550</v>
      </c>
    </row>
    <row r="46" spans="1:9" x14ac:dyDescent="0.25">
      <c r="A46">
        <v>38</v>
      </c>
      <c r="B46">
        <v>139</v>
      </c>
      <c r="C46" t="s">
        <v>579</v>
      </c>
      <c r="D46">
        <v>139</v>
      </c>
      <c r="E46">
        <v>5</v>
      </c>
      <c r="F46">
        <v>5</v>
      </c>
      <c r="G46" t="s">
        <v>585</v>
      </c>
      <c r="H46" t="s">
        <v>580</v>
      </c>
      <c r="I46" t="s">
        <v>550</v>
      </c>
    </row>
    <row r="47" spans="1:9" x14ac:dyDescent="0.25">
      <c r="A47">
        <v>39</v>
      </c>
      <c r="B47">
        <v>273</v>
      </c>
      <c r="C47" t="s">
        <v>579</v>
      </c>
      <c r="D47">
        <v>273</v>
      </c>
      <c r="E47">
        <v>14</v>
      </c>
      <c r="F47">
        <v>14</v>
      </c>
      <c r="G47" t="s">
        <v>585</v>
      </c>
      <c r="H47" t="s">
        <v>580</v>
      </c>
      <c r="I47" t="s">
        <v>550</v>
      </c>
    </row>
    <row r="48" spans="1:9" x14ac:dyDescent="0.25">
      <c r="A48">
        <v>40</v>
      </c>
      <c r="B48">
        <v>49</v>
      </c>
      <c r="C48" t="s">
        <v>579</v>
      </c>
      <c r="D48">
        <v>49</v>
      </c>
      <c r="E48">
        <v>2</v>
      </c>
      <c r="F48">
        <v>2</v>
      </c>
      <c r="G48" t="s">
        <v>580</v>
      </c>
      <c r="H48" t="s">
        <v>585</v>
      </c>
      <c r="I48" t="s">
        <v>550</v>
      </c>
    </row>
    <row r="49" spans="1:10" x14ac:dyDescent="0.25">
      <c r="A49">
        <v>40</v>
      </c>
      <c r="B49">
        <v>8</v>
      </c>
      <c r="C49" t="s">
        <v>579</v>
      </c>
      <c r="D49">
        <v>8</v>
      </c>
      <c r="E49">
        <v>2</v>
      </c>
      <c r="F49">
        <v>2</v>
      </c>
      <c r="G49" t="s">
        <v>580</v>
      </c>
      <c r="H49" t="s">
        <v>585</v>
      </c>
      <c r="I49" t="s">
        <v>550</v>
      </c>
    </row>
    <row r="50" spans="1:10" x14ac:dyDescent="0.25">
      <c r="A50">
        <v>40</v>
      </c>
      <c r="B50">
        <v>290</v>
      </c>
      <c r="C50" t="s">
        <v>579</v>
      </c>
      <c r="D50">
        <v>290</v>
      </c>
      <c r="E50">
        <v>2</v>
      </c>
      <c r="F50">
        <v>2</v>
      </c>
      <c r="G50" t="s">
        <v>580</v>
      </c>
      <c r="H50" t="s">
        <v>585</v>
      </c>
      <c r="I50" t="s">
        <v>550</v>
      </c>
    </row>
    <row r="51" spans="1:10" x14ac:dyDescent="0.25">
      <c r="A51">
        <v>41</v>
      </c>
      <c r="B51">
        <v>209</v>
      </c>
      <c r="C51" t="s">
        <v>579</v>
      </c>
      <c r="D51">
        <v>209</v>
      </c>
      <c r="E51">
        <v>5</v>
      </c>
      <c r="F51" t="s">
        <v>538</v>
      </c>
      <c r="G51" t="s">
        <v>580</v>
      </c>
      <c r="H51" t="s">
        <v>538</v>
      </c>
      <c r="I51" t="s">
        <v>550</v>
      </c>
      <c r="J51" t="s">
        <v>586</v>
      </c>
    </row>
    <row r="52" spans="1:10" x14ac:dyDescent="0.25">
      <c r="A52">
        <v>42</v>
      </c>
      <c r="B52">
        <v>94</v>
      </c>
      <c r="C52" t="s">
        <v>579</v>
      </c>
      <c r="D52">
        <v>94</v>
      </c>
      <c r="E52">
        <v>13</v>
      </c>
      <c r="F52" t="s">
        <v>538</v>
      </c>
      <c r="G52" t="s">
        <v>580</v>
      </c>
      <c r="H52" t="s">
        <v>538</v>
      </c>
      <c r="I52" t="s">
        <v>550</v>
      </c>
      <c r="J52" t="s">
        <v>587</v>
      </c>
    </row>
    <row r="53" spans="1:10" x14ac:dyDescent="0.25">
      <c r="A53">
        <v>1</v>
      </c>
      <c r="B53">
        <v>1</v>
      </c>
      <c r="C53" t="s">
        <v>579</v>
      </c>
      <c r="D53">
        <v>420</v>
      </c>
      <c r="E53">
        <v>6</v>
      </c>
      <c r="F53">
        <v>1</v>
      </c>
      <c r="G53" t="s">
        <v>534</v>
      </c>
      <c r="H53" t="s">
        <v>534</v>
      </c>
      <c r="I53" t="s">
        <v>550</v>
      </c>
    </row>
    <row r="54" spans="1:10" x14ac:dyDescent="0.25">
      <c r="A54">
        <v>1</v>
      </c>
      <c r="B54">
        <v>2</v>
      </c>
      <c r="C54" t="s">
        <v>575</v>
      </c>
      <c r="D54" t="s">
        <v>588</v>
      </c>
      <c r="E54">
        <v>6</v>
      </c>
      <c r="F54">
        <v>1</v>
      </c>
      <c r="I54" t="s">
        <v>550</v>
      </c>
    </row>
    <row r="55" spans="1:10" x14ac:dyDescent="0.25">
      <c r="A55">
        <v>1</v>
      </c>
      <c r="B55">
        <v>3</v>
      </c>
      <c r="C55" t="s">
        <v>579</v>
      </c>
      <c r="D55">
        <v>419</v>
      </c>
      <c r="E55">
        <v>1</v>
      </c>
      <c r="F55">
        <v>6</v>
      </c>
      <c r="G55" t="s">
        <v>534</v>
      </c>
      <c r="H55" t="s">
        <v>534</v>
      </c>
      <c r="I55" t="s">
        <v>550</v>
      </c>
    </row>
    <row r="56" spans="1:10" x14ac:dyDescent="0.25">
      <c r="A56">
        <v>2</v>
      </c>
      <c r="B56">
        <v>1</v>
      </c>
      <c r="C56" t="s">
        <v>575</v>
      </c>
      <c r="D56" t="s">
        <v>588</v>
      </c>
      <c r="E56">
        <v>6</v>
      </c>
      <c r="F56">
        <v>1</v>
      </c>
      <c r="I56" t="s">
        <v>550</v>
      </c>
    </row>
    <row r="57" spans="1:10" x14ac:dyDescent="0.25">
      <c r="A57">
        <v>3</v>
      </c>
      <c r="B57">
        <v>4</v>
      </c>
      <c r="C57" t="s">
        <v>579</v>
      </c>
      <c r="D57">
        <v>421</v>
      </c>
      <c r="E57">
        <v>7</v>
      </c>
      <c r="F57">
        <v>7</v>
      </c>
      <c r="G57" t="s">
        <v>534</v>
      </c>
      <c r="H57" t="s">
        <v>537</v>
      </c>
      <c r="I57" t="s">
        <v>550</v>
      </c>
    </row>
    <row r="58" spans="1:10" x14ac:dyDescent="0.25">
      <c r="A58">
        <v>4</v>
      </c>
      <c r="B58">
        <v>1</v>
      </c>
      <c r="C58" t="s">
        <v>579</v>
      </c>
      <c r="D58">
        <v>130</v>
      </c>
      <c r="E58">
        <v>7</v>
      </c>
      <c r="F58">
        <v>5</v>
      </c>
      <c r="G58" t="s">
        <v>534</v>
      </c>
      <c r="H58" t="s">
        <v>534</v>
      </c>
      <c r="I58" t="s">
        <v>550</v>
      </c>
    </row>
    <row r="59" spans="1:10" x14ac:dyDescent="0.25">
      <c r="A59">
        <v>4</v>
      </c>
      <c r="B59">
        <v>2</v>
      </c>
      <c r="C59" t="s">
        <v>575</v>
      </c>
      <c r="D59" t="s">
        <v>584</v>
      </c>
      <c r="E59">
        <v>5</v>
      </c>
      <c r="F59">
        <v>7</v>
      </c>
      <c r="I59" t="s">
        <v>550</v>
      </c>
    </row>
    <row r="60" spans="1:10" x14ac:dyDescent="0.25">
      <c r="A60">
        <v>4</v>
      </c>
      <c r="B60">
        <v>3</v>
      </c>
      <c r="C60" t="s">
        <v>575</v>
      </c>
      <c r="D60" t="s">
        <v>578</v>
      </c>
      <c r="E60">
        <v>5</v>
      </c>
      <c r="F60">
        <v>7</v>
      </c>
      <c r="I60" t="s">
        <v>550</v>
      </c>
    </row>
    <row r="61" spans="1:10" x14ac:dyDescent="0.25">
      <c r="A61">
        <v>6</v>
      </c>
      <c r="B61">
        <v>1</v>
      </c>
      <c r="C61" t="s">
        <v>579</v>
      </c>
      <c r="D61">
        <v>49</v>
      </c>
      <c r="E61">
        <v>2</v>
      </c>
      <c r="F61">
        <v>2</v>
      </c>
      <c r="G61" t="s">
        <v>585</v>
      </c>
      <c r="H61" t="s">
        <v>580</v>
      </c>
      <c r="I61" t="s">
        <v>550</v>
      </c>
    </row>
    <row r="62" spans="1:10" x14ac:dyDescent="0.25">
      <c r="A62">
        <v>6</v>
      </c>
      <c r="B62">
        <v>2</v>
      </c>
      <c r="C62" t="s">
        <v>579</v>
      </c>
      <c r="D62">
        <v>423</v>
      </c>
      <c r="E62">
        <v>2</v>
      </c>
      <c r="F62">
        <v>2</v>
      </c>
      <c r="G62" t="s">
        <v>534</v>
      </c>
      <c r="H62" t="s">
        <v>537</v>
      </c>
      <c r="I62" t="s">
        <v>550</v>
      </c>
    </row>
    <row r="63" spans="1:10" x14ac:dyDescent="0.25">
      <c r="A63">
        <v>5</v>
      </c>
      <c r="B63">
        <v>1</v>
      </c>
      <c r="C63" t="s">
        <v>579</v>
      </c>
      <c r="D63">
        <v>435</v>
      </c>
      <c r="E63">
        <v>7</v>
      </c>
      <c r="F63">
        <v>7</v>
      </c>
      <c r="G63" t="s">
        <v>534</v>
      </c>
      <c r="H63" t="s">
        <v>537</v>
      </c>
      <c r="I63" t="s">
        <v>550</v>
      </c>
    </row>
    <row r="64" spans="1:10" x14ac:dyDescent="0.25">
      <c r="A64">
        <v>5</v>
      </c>
      <c r="B64">
        <v>2</v>
      </c>
      <c r="C64" t="s">
        <v>579</v>
      </c>
      <c r="D64">
        <v>437</v>
      </c>
      <c r="E64">
        <v>7</v>
      </c>
      <c r="F64">
        <v>7</v>
      </c>
      <c r="G64" t="s">
        <v>534</v>
      </c>
      <c r="H64" t="s">
        <v>537</v>
      </c>
      <c r="I64" t="s">
        <v>550</v>
      </c>
    </row>
    <row r="65" spans="1:9" x14ac:dyDescent="0.25">
      <c r="A65">
        <v>7</v>
      </c>
      <c r="B65">
        <v>1</v>
      </c>
      <c r="C65" t="s">
        <v>579</v>
      </c>
      <c r="D65">
        <v>434</v>
      </c>
      <c r="E65">
        <v>7</v>
      </c>
      <c r="F65">
        <v>7</v>
      </c>
      <c r="G65" t="s">
        <v>534</v>
      </c>
      <c r="H65" t="s">
        <v>537</v>
      </c>
      <c r="I65" t="s">
        <v>550</v>
      </c>
    </row>
    <row r="66" spans="1:9" x14ac:dyDescent="0.25">
      <c r="A66">
        <v>7</v>
      </c>
      <c r="B66">
        <v>2</v>
      </c>
      <c r="C66" t="s">
        <v>579</v>
      </c>
      <c r="D66">
        <v>437</v>
      </c>
      <c r="E66">
        <v>7</v>
      </c>
      <c r="F66">
        <v>7</v>
      </c>
      <c r="G66" t="s">
        <v>537</v>
      </c>
      <c r="H66" t="s">
        <v>534</v>
      </c>
      <c r="I66" t="s">
        <v>550</v>
      </c>
    </row>
    <row r="67" spans="1:9" x14ac:dyDescent="0.25">
      <c r="A67">
        <v>8</v>
      </c>
      <c r="B67">
        <v>1</v>
      </c>
      <c r="C67" t="s">
        <v>579</v>
      </c>
      <c r="D67">
        <v>437</v>
      </c>
      <c r="E67">
        <v>7</v>
      </c>
      <c r="F67">
        <v>7</v>
      </c>
      <c r="G67" t="s">
        <v>534</v>
      </c>
      <c r="H67" t="s">
        <v>537</v>
      </c>
      <c r="I67" t="s">
        <v>550</v>
      </c>
    </row>
    <row r="68" spans="1:9" x14ac:dyDescent="0.25">
      <c r="A68">
        <v>8</v>
      </c>
      <c r="B68">
        <v>2</v>
      </c>
      <c r="C68" t="s">
        <v>579</v>
      </c>
      <c r="D68">
        <v>434</v>
      </c>
      <c r="E68">
        <v>7</v>
      </c>
      <c r="F68">
        <v>7</v>
      </c>
      <c r="G68" t="s">
        <v>537</v>
      </c>
      <c r="H68" t="s">
        <v>534</v>
      </c>
      <c r="I68" t="s">
        <v>550</v>
      </c>
    </row>
    <row r="69" spans="1:9" x14ac:dyDescent="0.25">
      <c r="A69">
        <v>9</v>
      </c>
      <c r="B69">
        <v>1</v>
      </c>
      <c r="C69" t="s">
        <v>575</v>
      </c>
      <c r="D69" t="s">
        <v>589</v>
      </c>
      <c r="E69">
        <v>2</v>
      </c>
      <c r="F69">
        <v>13</v>
      </c>
      <c r="I69" t="s">
        <v>550</v>
      </c>
    </row>
    <row r="70" spans="1:9" x14ac:dyDescent="0.25">
      <c r="A70">
        <v>9</v>
      </c>
      <c r="B70">
        <v>2</v>
      </c>
      <c r="C70" t="s">
        <v>575</v>
      </c>
      <c r="D70" t="s">
        <v>590</v>
      </c>
      <c r="E70">
        <v>13</v>
      </c>
      <c r="F70">
        <v>2</v>
      </c>
      <c r="I70" t="s">
        <v>550</v>
      </c>
    </row>
    <row r="71" spans="1:9" x14ac:dyDescent="0.25">
      <c r="A71">
        <v>1</v>
      </c>
      <c r="B71">
        <v>1</v>
      </c>
      <c r="C71" t="s">
        <v>579</v>
      </c>
      <c r="D71">
        <v>93</v>
      </c>
      <c r="E71">
        <v>6</v>
      </c>
      <c r="G71" t="s">
        <v>534</v>
      </c>
      <c r="I71" t="s">
        <v>550</v>
      </c>
    </row>
    <row r="72" spans="1:9" x14ac:dyDescent="0.25">
      <c r="A72">
        <v>2</v>
      </c>
      <c r="B72">
        <v>1</v>
      </c>
      <c r="C72" t="s">
        <v>579</v>
      </c>
      <c r="D72">
        <v>158</v>
      </c>
      <c r="E72">
        <v>7</v>
      </c>
      <c r="G72" t="s">
        <v>534</v>
      </c>
      <c r="I72" t="s">
        <v>550</v>
      </c>
    </row>
    <row r="73" spans="1:9" x14ac:dyDescent="0.25">
      <c r="A73">
        <v>3</v>
      </c>
      <c r="B73">
        <v>1</v>
      </c>
      <c r="C73" t="s">
        <v>579</v>
      </c>
      <c r="D73">
        <v>419</v>
      </c>
      <c r="E73">
        <v>6</v>
      </c>
      <c r="F73">
        <v>6</v>
      </c>
      <c r="G73" t="s">
        <v>534</v>
      </c>
      <c r="H73" t="s">
        <v>537</v>
      </c>
    </row>
    <row r="74" spans="1:9" x14ac:dyDescent="0.25">
      <c r="A74">
        <v>3</v>
      </c>
      <c r="B74">
        <v>2</v>
      </c>
      <c r="C74" t="s">
        <v>579</v>
      </c>
      <c r="D74">
        <v>444</v>
      </c>
      <c r="E74">
        <v>6</v>
      </c>
      <c r="F74">
        <v>6</v>
      </c>
      <c r="G74" t="s">
        <v>534</v>
      </c>
      <c r="H74" t="s">
        <v>537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6"/>
  <sheetViews>
    <sheetView topLeftCell="A7"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12</v>
      </c>
      <c r="H18">
        <v>9000000</v>
      </c>
      <c r="I18" t="s">
        <v>12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12</v>
      </c>
      <c r="H21">
        <v>1000000</v>
      </c>
      <c r="I21" t="s">
        <v>12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12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VLOOKUP(B31,players!A:B,2)</f>
        <v>Hannes Steinbach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12</v>
      </c>
      <c r="J31">
        <v>4500000</v>
      </c>
      <c r="K31" t="s">
        <v>12</v>
      </c>
      <c r="L31" t="str">
        <f>VLOOKUP(B33,players!A:B,2)</f>
        <v>Cam Spencer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12</v>
      </c>
      <c r="J32">
        <v>4300000</v>
      </c>
      <c r="K32" t="s">
        <v>12</v>
      </c>
      <c r="L32" t="str">
        <f>VLOOKUP(B34,players!A:B,2)</f>
        <v>Alperen Şengün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12</v>
      </c>
      <c r="L33" t="str">
        <f>VLOOKUP(B35,players!A:B,2)</f>
        <v>Kevin Durant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VLOOKUP(B36,players!A:B,2)</f>
        <v>Brandon Miller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VLOOKUP(B37,players!A:B,2)</f>
        <v>Jalen Green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VLOOKUP(B38,players!A:B,2)</f>
        <v>Tyler Herro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VLOOKUP(B39,players!A:B,2)</f>
        <v>Trae Young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VLOOKUP(B40,players!A:B,2)</f>
        <v>Russell Westbrook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VLOOKUP(B41,players!A:B,2)</f>
        <v>Bobby Portis</v>
      </c>
    </row>
    <row r="40" spans="1:12" x14ac:dyDescent="0.25">
      <c r="A40">
        <v>2</v>
      </c>
      <c r="B40">
        <v>103</v>
      </c>
      <c r="C40">
        <v>8</v>
      </c>
      <c r="L40" t="str">
        <f>VLOOKUP(B42,players!A:B,2)</f>
        <v>Derik Queen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VLOOKUP(B43,players!A:B,2)</f>
        <v>Immanuel Quickley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12</v>
      </c>
      <c r="H42">
        <v>3700000</v>
      </c>
      <c r="I42" t="s">
        <v>12</v>
      </c>
      <c r="L42" t="str">
        <f>VLOOKUP(B44,players!A:B,2)</f>
        <v>Nickeil Alexander-Walker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VLOOKUP(B45,players!A:B,2)</f>
        <v>Kyshawn George</v>
      </c>
    </row>
    <row r="44" spans="1:12" x14ac:dyDescent="0.25">
      <c r="A44">
        <v>3</v>
      </c>
      <c r="B44">
        <v>237</v>
      </c>
      <c r="C44">
        <v>2</v>
      </c>
      <c r="L44" t="str">
        <f>VLOOKUP(B46,players!A:B,2)</f>
        <v>Cameron Johnson</v>
      </c>
    </row>
    <row r="45" spans="1:12" x14ac:dyDescent="0.25">
      <c r="A45">
        <v>3</v>
      </c>
      <c r="B45">
        <v>119</v>
      </c>
      <c r="C45">
        <v>3</v>
      </c>
      <c r="L45" t="str">
        <f>VLOOKUP(B47,players!A:B,2)</f>
        <v>Myles Turner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VLOOKUP(B48,players!A:B,2)</f>
        <v>Mitchell Robinson</v>
      </c>
    </row>
    <row r="47" spans="1:12" x14ac:dyDescent="0.25">
      <c r="A47">
        <v>3</v>
      </c>
      <c r="B47">
        <v>112</v>
      </c>
      <c r="C47">
        <v>5</v>
      </c>
      <c r="L47" t="str">
        <f>VLOOKUP(B49,players!A:B,2)</f>
        <v>Jalen Duren</v>
      </c>
    </row>
    <row r="48" spans="1:12" x14ac:dyDescent="0.25">
      <c r="A48">
        <v>3</v>
      </c>
      <c r="B48">
        <v>23</v>
      </c>
      <c r="C48">
        <v>6</v>
      </c>
      <c r="L48" t="str">
        <f>VLOOKUP(B50,players!A:B,2)</f>
        <v>Luka Dončić</v>
      </c>
    </row>
    <row r="49" spans="1:12" x14ac:dyDescent="0.25">
      <c r="A49">
        <v>3</v>
      </c>
      <c r="B49">
        <v>11</v>
      </c>
      <c r="C49">
        <v>7</v>
      </c>
      <c r="L49" t="str">
        <f>VLOOKUP(B51,players!A:B,2)</f>
        <v>Kawhi Leonard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VLOOKUP(B52,players!A:B,2)</f>
        <v>Jaren Jackson Jr.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VLOOKUP(B53,players!A:B,2)</f>
        <v>OG Anunoby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VLOOKUP(B54,players!A:B,2)</f>
        <v>Kyrie Irving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VLOOKUP(B55,players!A:B,2)</f>
        <v>Zach LaVine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VLOOKUP(B56,players!A:B,2)</f>
        <v>Brayden Burries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VLOOKUP(B57,players!A:B,2)</f>
        <v>Nolan Traoré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12</v>
      </c>
      <c r="J56">
        <v>3900000</v>
      </c>
      <c r="K56" t="s">
        <v>12</v>
      </c>
      <c r="L56" t="str">
        <f>VLOOKUP(B58,players!A:B,2)</f>
        <v>Jared McCain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12</v>
      </c>
      <c r="H57">
        <v>1000000</v>
      </c>
      <c r="I57" t="s">
        <v>12</v>
      </c>
      <c r="L57" t="str">
        <f>VLOOKUP(B59,players!A:B,2)</f>
        <v>Keldon Johnson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12</v>
      </c>
      <c r="L58" t="str">
        <f>VLOOKUP(B60,players!A:B,2)</f>
        <v>Santi Aldama</v>
      </c>
    </row>
    <row r="59" spans="1:12" x14ac:dyDescent="0.25">
      <c r="A59">
        <v>4</v>
      </c>
      <c r="B59">
        <v>104</v>
      </c>
      <c r="C59">
        <v>3</v>
      </c>
      <c r="L59" t="str">
        <f>VLOOKUP(B61,players!A:B,2)</f>
        <v>Deandre Ayton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VLOOKUP(B62,players!A:B,2)</f>
        <v>Nic Claxton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VLOOKUP(B63,players!A:B,2)</f>
        <v>Bam Adebayo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VLOOKUP(B64,players!A:B,2)</f>
        <v>Jaylen Brown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VLOOKUP(B65,players!A:B,2)</f>
        <v>Stephon Castle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VLOOKUP(B66,players!A:B,2)</f>
        <v>Franz Wagner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12</v>
      </c>
      <c r="L65" t="str">
        <f>VLOOKUP(B67,players!A:B,2)</f>
        <v>Donovan Mitchell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VLOOKUP(B68,players!A:B,2)</f>
        <v>DeMar DeRozan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VLOOKUP(B69,players!A:B,2)</f>
        <v>Kingston Flemings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VLOOKUP(B70,players!A:B,2)</f>
        <v>Henry Veesaar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12</v>
      </c>
      <c r="J69">
        <v>6000000</v>
      </c>
      <c r="K69" t="s">
        <v>12</v>
      </c>
      <c r="L69" t="str">
        <f>VLOOKUP(B71,players!A:B,2)</f>
        <v>Dennis Schröder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12</v>
      </c>
      <c r="J70">
        <v>1000000</v>
      </c>
      <c r="K70" t="s">
        <v>12</v>
      </c>
      <c r="L70" t="str">
        <f>VLOOKUP(B72,players!A:B,2)</f>
        <v>Egor Dёmin</v>
      </c>
    </row>
    <row r="71" spans="1:12" x14ac:dyDescent="0.25">
      <c r="A71">
        <v>5</v>
      </c>
      <c r="B71">
        <v>305</v>
      </c>
      <c r="C71">
        <v>1</v>
      </c>
      <c r="L71" t="str">
        <f>VLOOKUP(B73,players!A:B,2)</f>
        <v>Grayson Allen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VLOOKUP(B74,players!A:B,2)</f>
        <v>James Harden</v>
      </c>
    </row>
    <row r="73" spans="1:12" x14ac:dyDescent="0.25">
      <c r="A73">
        <v>5</v>
      </c>
      <c r="B73">
        <v>274</v>
      </c>
      <c r="C73">
        <v>3</v>
      </c>
      <c r="L73" t="str">
        <f>VLOOKUP(B75,players!A:B,2)</f>
        <v>Isaiah Stewart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VLOOKUP(B76,players!A:B,2)</f>
        <v>Danny Wolf</v>
      </c>
    </row>
    <row r="75" spans="1:12" x14ac:dyDescent="0.25">
      <c r="A75">
        <v>5</v>
      </c>
      <c r="B75">
        <v>131</v>
      </c>
      <c r="C75">
        <v>5</v>
      </c>
      <c r="L75" t="str">
        <f>VLOOKUP(B77,players!A:B,2)</f>
        <v>Joel Embiid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VLOOKUP(B78,players!A:B,2)</f>
        <v>Giannis Antetokounmpo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VLOOKUP(B79,players!A:B,2)</f>
        <v>Naz Reid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VLOOKUP(B80,players!A:B,2)</f>
        <v>Jerami Grant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VLOOKUP(B81,players!A:B,2)</f>
        <v>Michael Porter Jr.</v>
      </c>
    </row>
    <row r="80" spans="1:12" x14ac:dyDescent="0.25">
      <c r="A80">
        <v>5</v>
      </c>
      <c r="B80">
        <v>227</v>
      </c>
      <c r="C80">
        <v>10</v>
      </c>
      <c r="L80" t="str">
        <f>VLOOKUP(B82,players!A:B,2)</f>
        <v>Royce O'Neale</v>
      </c>
    </row>
    <row r="81" spans="1:12" x14ac:dyDescent="0.25">
      <c r="A81">
        <v>5</v>
      </c>
      <c r="B81">
        <v>48</v>
      </c>
      <c r="C81">
        <v>11</v>
      </c>
      <c r="L81" t="str">
        <f>VLOOKUP(B83,players!A:B,2)</f>
        <v>Ryan Rollins</v>
      </c>
    </row>
    <row r="82" spans="1:12" x14ac:dyDescent="0.25">
      <c r="A82">
        <v>5</v>
      </c>
      <c r="B82">
        <v>148</v>
      </c>
      <c r="C82">
        <v>12</v>
      </c>
      <c r="L82" t="str">
        <f>VLOOKUP(B84,players!A:B,2)</f>
        <v>Caleb Wilson</v>
      </c>
    </row>
    <row r="83" spans="1:12" x14ac:dyDescent="0.25">
      <c r="A83">
        <v>5</v>
      </c>
      <c r="B83">
        <v>152</v>
      </c>
      <c r="C83">
        <v>12</v>
      </c>
      <c r="L83" t="str">
        <f>VLOOKUP(B85,players!A:B,2)</f>
        <v>Yaxel Lendeborg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VLOOKUP(B86,players!A:B,2)</f>
        <v>Derrick White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VLOOKUP(B87,players!A:B,2)</f>
        <v>D'Angelo Russell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VLOOKUP(B88,players!A:B,2)</f>
        <v>Josh Hart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VLOOKUP(B89,players!A:B,2)</f>
        <v>Tobias Harris</v>
      </c>
    </row>
    <row r="88" spans="1:12" x14ac:dyDescent="0.25">
      <c r="A88">
        <v>6</v>
      </c>
      <c r="B88">
        <v>45</v>
      </c>
      <c r="C88">
        <v>3</v>
      </c>
      <c r="L88" t="str">
        <f>VLOOKUP(B90,players!A:B,2)</f>
        <v>Draymond Green</v>
      </c>
    </row>
    <row r="89" spans="1:12" x14ac:dyDescent="0.25">
      <c r="A89">
        <v>6</v>
      </c>
      <c r="B89">
        <v>122</v>
      </c>
      <c r="C89">
        <v>4</v>
      </c>
      <c r="L89" t="str">
        <f>VLOOKUP(B91,players!A:B,2)</f>
        <v>Jusuf Nurkić</v>
      </c>
    </row>
    <row r="90" spans="1:12" x14ac:dyDescent="0.25">
      <c r="A90">
        <v>6</v>
      </c>
      <c r="B90">
        <v>98</v>
      </c>
      <c r="C90">
        <v>5</v>
      </c>
      <c r="L90" t="str">
        <f>VLOOKUP(B92,players!A:B,2)</f>
        <v>Nikola Jokić</v>
      </c>
    </row>
    <row r="91" spans="1:12" x14ac:dyDescent="0.25">
      <c r="A91">
        <v>6</v>
      </c>
      <c r="B91">
        <v>13</v>
      </c>
      <c r="C91">
        <v>6</v>
      </c>
      <c r="L91" t="str">
        <f>VLOOKUP(B93,players!A:B,2)</f>
        <v>Paolo Banchero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VLOOKUP(B94,players!A:B,2)</f>
        <v>Miles Bridges</v>
      </c>
    </row>
    <row r="93" spans="1:12" x14ac:dyDescent="0.25">
      <c r="A93">
        <v>6</v>
      </c>
      <c r="B93">
        <v>27</v>
      </c>
      <c r="C93">
        <v>8</v>
      </c>
      <c r="L93" t="str">
        <f>VLOOKUP(B95,players!A:B,2)</f>
        <v>Cade Cunningham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VLOOKUP(B96,players!A:B,2)</f>
        <v>Jabari Smith Jr.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VLOOKUP(B97,players!A:B,2)</f>
        <v>Keyonte George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VLOOKUP(B98,players!A:B,2)</f>
        <v>Damian Lillard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VLOOKUP(B99,players!A:B,2)</f>
        <v>Tari Eason</v>
      </c>
    </row>
    <row r="98" spans="1:12" x14ac:dyDescent="0.25">
      <c r="A98">
        <v>6</v>
      </c>
      <c r="B98">
        <v>161</v>
      </c>
      <c r="C98">
        <v>13</v>
      </c>
      <c r="L98" t="str">
        <f>VLOOKUP(B100,players!A:B,2)</f>
        <v>Darryn Peterson</v>
      </c>
    </row>
    <row r="99" spans="1:12" x14ac:dyDescent="0.25">
      <c r="A99">
        <v>6</v>
      </c>
      <c r="B99">
        <v>71</v>
      </c>
      <c r="C99">
        <v>15</v>
      </c>
      <c r="L99" t="str">
        <f>VLOOKUP(B102,players!A:B,2)</f>
        <v>Jrue Holiday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12</v>
      </c>
      <c r="J100">
        <v>7500000</v>
      </c>
      <c r="K100" t="s">
        <v>12</v>
      </c>
      <c r="L100" t="str">
        <f>VLOOKUP(B104,players!A:B,2)</f>
        <v>Aaron Gordon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12</v>
      </c>
      <c r="L101" t="str">
        <f>VLOOKUP(B105,players!A:B,2)</f>
        <v>Kristaps Porziņģis</v>
      </c>
    </row>
    <row r="102" spans="1:12" x14ac:dyDescent="0.25">
      <c r="A102">
        <v>8</v>
      </c>
      <c r="B102">
        <v>154</v>
      </c>
      <c r="C102">
        <v>2</v>
      </c>
      <c r="L102" t="str">
        <f>VLOOKUP(B106,players!A:B,2)</f>
        <v>Donovan Clingan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12</v>
      </c>
      <c r="H103">
        <v>1000000</v>
      </c>
      <c r="I103" t="s">
        <v>12</v>
      </c>
      <c r="L103" t="str">
        <f>VLOOKUP(B107,players!A:B,2)</f>
        <v>Rudy Gobert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VLOOKUP(B108,players!A:B,2)</f>
        <v>Jalen Johnson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VLOOKUP(B109,players!A:B,2)</f>
        <v>Trey Murphy III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12</v>
      </c>
      <c r="L106" t="str">
        <f>VLOOKUP(B110,players!A:B,2)</f>
        <v>Zion Williamson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VLOOKUP(B111,players!A:B,2)</f>
        <v>De'Aaron Fox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VLOOKUP(B112,players!A:B,2)</f>
        <v>Norman Powell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VLOOKUP(B113,players!A:B,2)</f>
        <v>Dyson Daniels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VLOOKUP(B114,players!A:B,2)</f>
        <v>Collin Sexton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VLOOKUP(B115,players!A:B,2)</f>
        <v>Aday Mara</v>
      </c>
    </row>
    <row r="112" spans="1:12" x14ac:dyDescent="0.25">
      <c r="A112">
        <v>8</v>
      </c>
      <c r="B112">
        <v>225</v>
      </c>
      <c r="C112">
        <v>12</v>
      </c>
      <c r="L112" t="str">
        <f>VLOOKUP(B116,players!A:B,2)</f>
        <v>Bennett Stirtz</v>
      </c>
    </row>
    <row r="113" spans="1:12" x14ac:dyDescent="0.25">
      <c r="A113">
        <v>8</v>
      </c>
      <c r="B113">
        <v>59</v>
      </c>
      <c r="C113">
        <v>13</v>
      </c>
      <c r="L113" t="str">
        <f>VLOOKUP(B117,players!A:B,2)</f>
        <v>Chris Cenac Jr.</v>
      </c>
    </row>
    <row r="114" spans="1:12" x14ac:dyDescent="0.25">
      <c r="A114">
        <v>8</v>
      </c>
      <c r="B114">
        <v>336</v>
      </c>
      <c r="C114">
        <v>14</v>
      </c>
      <c r="L114" t="str">
        <f>VLOOKUP(B118,players!A:B,2)</f>
        <v>Cam Thomas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12</v>
      </c>
      <c r="J115">
        <v>3700000</v>
      </c>
      <c r="K115" t="s">
        <v>12</v>
      </c>
      <c r="L115" t="str">
        <f>VLOOKUP(B119,players!A:B,2)</f>
        <v>Ayo Dosunmu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12</v>
      </c>
      <c r="J116">
        <v>1000000</v>
      </c>
      <c r="K116" t="s">
        <v>12</v>
      </c>
      <c r="L116" t="str">
        <f>VLOOKUP(B120,players!A:B,2)</f>
        <v>Devin Vassell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12</v>
      </c>
      <c r="J117">
        <v>1000000</v>
      </c>
      <c r="K117" t="s">
        <v>12</v>
      </c>
      <c r="L117" t="str">
        <f>VLOOKUP(B121,players!A:B,2)</f>
        <v>Rui Hachimura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VLOOKUP(B122,players!A:B,2)</f>
        <v>Clint Capela</v>
      </c>
    </row>
    <row r="119" spans="1:12" x14ac:dyDescent="0.25">
      <c r="A119">
        <v>9</v>
      </c>
      <c r="B119">
        <v>240</v>
      </c>
      <c r="C119">
        <v>2</v>
      </c>
      <c r="L119" t="str">
        <f>VLOOKUP(B123,players!A:B,2)</f>
        <v>Jaden McDaniels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VLOOKUP(B124,players!A:B,2)</f>
        <v>Jayson Tatum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VLOOKUP(B125,players!A:B,2)</f>
        <v>Jarrett Allen</v>
      </c>
    </row>
    <row r="122" spans="1:12" x14ac:dyDescent="0.25">
      <c r="A122">
        <v>9</v>
      </c>
      <c r="B122">
        <v>416</v>
      </c>
      <c r="C122">
        <v>5</v>
      </c>
      <c r="L122" t="str">
        <f>VLOOKUP(B126,players!A:B,2)</f>
        <v>Brandon Ingram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VLOOKUP(B127,players!A:B,2)</f>
        <v>Shaedon Sharpe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VLOOKUP(B128,players!A:B,2)</f>
        <v>Stephen Curry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VLOOKUP(B129,players!A:B,2)</f>
        <v>Darius Garland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VLOOKUP(B130,players!A:B,2)</f>
        <v>Ebuka Okorie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VLOOKUP(B131,players!A:B,2)</f>
        <v>Walker Kessler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VLOOKUP(B132,players!A:B,2)</f>
        <v>Malik Monk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VLOOKUP(B133,players!A:B,2)</f>
        <v>Ajay Mitchell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12</v>
      </c>
      <c r="J130">
        <v>1000000</v>
      </c>
      <c r="K130" t="s">
        <v>12</v>
      </c>
      <c r="L130" t="str">
        <f>VLOOKUP(B134,players!A:B,2)</f>
        <v>Bilal Coulibaly</v>
      </c>
    </row>
    <row r="131" spans="1:12" x14ac:dyDescent="0.25">
      <c r="A131">
        <v>10</v>
      </c>
      <c r="B131">
        <v>9</v>
      </c>
      <c r="C131">
        <v>1</v>
      </c>
      <c r="L131" t="str">
        <f>VLOOKUP(B135,players!A:B,2)</f>
        <v>Mark Williams</v>
      </c>
    </row>
    <row r="132" spans="1:12" x14ac:dyDescent="0.25">
      <c r="A132">
        <v>10</v>
      </c>
      <c r="B132">
        <v>373</v>
      </c>
      <c r="C132">
        <v>2</v>
      </c>
      <c r="L132" t="str">
        <f>VLOOKUP(B136,players!A:B,2)</f>
        <v>GG Jackson II</v>
      </c>
    </row>
    <row r="133" spans="1:12" x14ac:dyDescent="0.25">
      <c r="A133">
        <v>10</v>
      </c>
      <c r="B133">
        <v>249</v>
      </c>
      <c r="C133">
        <v>3</v>
      </c>
      <c r="L133" t="str">
        <f>VLOOKUP(B137,players!A:B,2)</f>
        <v>Nikola Vučević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VLOOKUP(B138,players!A:B,2)</f>
        <v>Alex Sarr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VLOOKUP(B139,players!A:B,2)</f>
        <v>Julius Randle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VLOOKUP(B140,players!A:B,2)</f>
        <v>Jalen Williams</v>
      </c>
    </row>
    <row r="137" spans="1:12" x14ac:dyDescent="0.25">
      <c r="A137">
        <v>10</v>
      </c>
      <c r="B137">
        <v>28</v>
      </c>
      <c r="C137">
        <v>7</v>
      </c>
      <c r="L137" t="str">
        <f>VLOOKUP(B141,players!A:B,2)</f>
        <v>Jamal Murray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12</v>
      </c>
      <c r="L138" t="str">
        <f>VLOOKUP(B142,players!A:B,2)</f>
        <v>Jalen Brunson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VLOOKUP(B143,players!A:B,2)</f>
        <v>Zuby Ejiofor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VLOOKUP(B144,players!A:B,2)</f>
        <v>Cole Anthony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VLOOKUP(B145,players!A:B,2)</f>
        <v>Khris Middleton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VLOOKUP(B146,players!A:B,2)</f>
        <v>John Collins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12</v>
      </c>
      <c r="J143">
        <v>1000000</v>
      </c>
      <c r="K143" t="s">
        <v>12</v>
      </c>
      <c r="L143" t="str">
        <f>VLOOKUP(B147,players!A:B,2)</f>
        <v>Daniel Gafford</v>
      </c>
    </row>
    <row r="144" spans="1:12" x14ac:dyDescent="0.25">
      <c r="A144">
        <v>11</v>
      </c>
      <c r="B144">
        <v>327</v>
      </c>
      <c r="C144">
        <v>1</v>
      </c>
      <c r="L144" t="str">
        <f>VLOOKUP(B148,players!A:B,2)</f>
        <v>Isaiah Hartenstein</v>
      </c>
    </row>
    <row r="145" spans="1:12" x14ac:dyDescent="0.25">
      <c r="A145">
        <v>11</v>
      </c>
      <c r="B145">
        <v>213</v>
      </c>
      <c r="C145">
        <v>2</v>
      </c>
      <c r="L145" t="str">
        <f>VLOOKUP(B149,players!A:B,2)</f>
        <v>Jalen Smith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VLOOKUP(B150,players!A:B,2)</f>
        <v>Domantas Sabonis</v>
      </c>
    </row>
    <row r="147" spans="1:12" x14ac:dyDescent="0.25">
      <c r="A147">
        <v>11</v>
      </c>
      <c r="B147">
        <v>58</v>
      </c>
      <c r="C147">
        <v>4</v>
      </c>
      <c r="L147" t="str">
        <f>VLOOKUP(B151,players!A:B,2)</f>
        <v>Desmond Bane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VLOOKUP(B152,players!A:B,2)</f>
        <v>Amen Thompson</v>
      </c>
    </row>
    <row r="149" spans="1:12" x14ac:dyDescent="0.25">
      <c r="A149">
        <v>11</v>
      </c>
      <c r="B149">
        <v>63</v>
      </c>
      <c r="C149">
        <v>6</v>
      </c>
      <c r="L149" t="str">
        <f>VLOOKUP(B153,players!A:B,2)</f>
        <v>Shai Gilgeous-Alexander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VLOOKUP(B154,players!A:B,2)</f>
        <v>CJ McCollum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VLOOKUP(B155,players!A:B,2)</f>
        <v>Paul George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VLOOKUP(B156,players!A:B,2)</f>
        <v>Moritz Wagner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VLOOKUP(B157,players!A:B,2)</f>
        <v>Payton Pritchard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VLOOKUP(B158,players!A:B,2)</f>
        <v>Meleek Thomas</v>
      </c>
    </row>
    <row r="155" spans="1:12" x14ac:dyDescent="0.25">
      <c r="A155">
        <v>11</v>
      </c>
      <c r="B155">
        <v>109</v>
      </c>
      <c r="C155">
        <v>12</v>
      </c>
      <c r="L155" t="str">
        <f>VLOOKUP(B159,players!A:B,2)</f>
        <v>Bradley Beal</v>
      </c>
    </row>
    <row r="156" spans="1:12" x14ac:dyDescent="0.25">
      <c r="A156">
        <v>11</v>
      </c>
      <c r="B156">
        <v>266</v>
      </c>
      <c r="C156">
        <v>13</v>
      </c>
      <c r="L156" t="str">
        <f>VLOOKUP(B160,players!A:B,2)</f>
        <v>Buddy Hield</v>
      </c>
    </row>
    <row r="157" spans="1:12" x14ac:dyDescent="0.25">
      <c r="A157">
        <v>11</v>
      </c>
      <c r="B157">
        <v>195</v>
      </c>
      <c r="C157">
        <v>14</v>
      </c>
      <c r="L157" t="str">
        <f>VLOOKUP(B161,players!A:B,2)</f>
        <v>Brandin Podziemski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12</v>
      </c>
      <c r="J158">
        <v>1000000</v>
      </c>
      <c r="K158" t="s">
        <v>12</v>
      </c>
      <c r="L158" t="str">
        <f>VLOOKUP(B162,players!A:B,2)</f>
        <v>Chet Holmgren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VLOOKUP(B163,players!A:B,2)</f>
        <v>Lauri Markkanen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VLOOKUP(B164,players!A:B,2)</f>
        <v>Devin Booker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VLOOKUP(B165,players!A:B,2)</f>
        <v>Tyrese Haliburton</v>
      </c>
    </row>
    <row r="162" spans="1:12" x14ac:dyDescent="0.25">
      <c r="A162">
        <v>12</v>
      </c>
      <c r="B162">
        <v>22</v>
      </c>
      <c r="C162">
        <v>4</v>
      </c>
      <c r="L162" t="str">
        <f>VLOOKUP(B166,players!A:B,2)</f>
        <v>Kevin Porter Jr.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VLOOKUP(B167,players!A:B,2)</f>
        <v>A.J. Dybantsa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VLOOKUP(B168,players!A:B,2)</f>
        <v>Nate Ament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VLOOKUP(B169,players!A:B,2)</f>
        <v>Davion Mitchell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VLOOKUP(B170,players!A:B,2)</f>
        <v>Jordan Poole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12</v>
      </c>
      <c r="J167">
        <v>11500000</v>
      </c>
      <c r="K167" t="s">
        <v>12</v>
      </c>
      <c r="L167" t="str">
        <f>VLOOKUP(B171,players!A:B,2)</f>
        <v>Andrew Nembhard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12</v>
      </c>
      <c r="J168">
        <v>1000000</v>
      </c>
      <c r="K168" t="s">
        <v>12</v>
      </c>
      <c r="L168" t="str">
        <f>VLOOKUP(B172,players!A:B,2)</f>
        <v>Aaron Nesmith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VLOOKUP(B173,players!A:B,2)</f>
        <v>Ivica Zubac</v>
      </c>
    </row>
    <row r="170" spans="1:12" x14ac:dyDescent="0.25">
      <c r="A170">
        <v>13</v>
      </c>
      <c r="B170">
        <v>363</v>
      </c>
      <c r="C170">
        <v>2</v>
      </c>
      <c r="L170" t="str">
        <f>VLOOKUP(B174,players!A:B,2)</f>
        <v>Wendell Carter Jr.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VLOOKUP(B175,players!A:B,2)</f>
        <v>Victor Wembanyama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VLOOKUP(B176,players!A:B,2)</f>
        <v>Josh Giddey</v>
      </c>
    </row>
    <row r="173" spans="1:12" x14ac:dyDescent="0.25">
      <c r="A173">
        <v>13</v>
      </c>
      <c r="B173">
        <v>10</v>
      </c>
      <c r="C173">
        <v>5</v>
      </c>
      <c r="L173" t="str">
        <f>VLOOKUP(B177,players!A:B,2)</f>
        <v>Deni Avdija</v>
      </c>
    </row>
    <row r="174" spans="1:12" x14ac:dyDescent="0.25">
      <c r="A174">
        <v>13</v>
      </c>
      <c r="B174">
        <v>46</v>
      </c>
      <c r="C174">
        <v>6</v>
      </c>
      <c r="L174" t="str">
        <f>VLOOKUP(B178,players!A:B,2)</f>
        <v>Pascal Siakam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VLOOKUP(B179,players!A:B,2)</f>
        <v>Austin Reaves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VLOOKUP(B180,players!A:B,2)</f>
        <v>Cameron Carr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VLOOKUP(B181,players!A:B,2)</f>
        <v>Sergio de Larrea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VLOOKUP(B182,players!A:B,2)</f>
        <v>Anfernee Simons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VLOOKUP(B183,players!A:B,2)</f>
        <v>Marcus Smart</v>
      </c>
    </row>
    <row r="180" spans="1:12" x14ac:dyDescent="0.25">
      <c r="A180">
        <v>13</v>
      </c>
      <c r="B180">
        <v>430</v>
      </c>
      <c r="C180">
        <v>13</v>
      </c>
      <c r="D180">
        <v>2600000</v>
      </c>
      <c r="F180">
        <v>2800000</v>
      </c>
      <c r="H180">
        <v>3000000</v>
      </c>
      <c r="I180" t="s">
        <v>12</v>
      </c>
      <c r="J180">
        <v>3300000</v>
      </c>
      <c r="K180" t="s">
        <v>12</v>
      </c>
      <c r="L180" t="str">
        <f>VLOOKUP(B184,players!A:B,2)</f>
        <v>Jaime Jaquez Jr.</v>
      </c>
    </row>
    <row r="181" spans="1:12" x14ac:dyDescent="0.25">
      <c r="A181">
        <v>13</v>
      </c>
      <c r="B181">
        <v>440</v>
      </c>
      <c r="C181">
        <v>14</v>
      </c>
      <c r="D181">
        <v>1000000</v>
      </c>
      <c r="F181">
        <v>1000000</v>
      </c>
      <c r="H181">
        <v>1000000</v>
      </c>
      <c r="I181" t="s">
        <v>12</v>
      </c>
      <c r="J181">
        <v>1000000</v>
      </c>
      <c r="K181" t="s">
        <v>12</v>
      </c>
      <c r="L181" t="str">
        <f>VLOOKUP(B185,players!A:B,2)</f>
        <v>Jimmy Butler</v>
      </c>
    </row>
    <row r="182" spans="1:12" x14ac:dyDescent="0.25">
      <c r="A182">
        <v>14</v>
      </c>
      <c r="B182">
        <v>317</v>
      </c>
      <c r="C182">
        <v>1</v>
      </c>
      <c r="L182" t="str">
        <f>VLOOKUP(B186,players!A:B,2)</f>
        <v>Moussa Diabaté</v>
      </c>
    </row>
    <row r="183" spans="1:12" x14ac:dyDescent="0.25">
      <c r="A183">
        <v>14</v>
      </c>
      <c r="B183">
        <v>299</v>
      </c>
      <c r="C183">
        <v>2</v>
      </c>
      <c r="L183" t="str">
        <f>VLOOKUP(B187,players!A:B,2)</f>
        <v>Coby White</v>
      </c>
    </row>
    <row r="184" spans="1:12" x14ac:dyDescent="0.25">
      <c r="A184">
        <v>14</v>
      </c>
      <c r="B184">
        <v>129</v>
      </c>
      <c r="C184">
        <v>3</v>
      </c>
      <c r="L184" t="str">
        <f>VLOOKUP(B188,players!A:B,2)</f>
        <v>Evan Mobley</v>
      </c>
    </row>
    <row r="185" spans="1:12" x14ac:dyDescent="0.25">
      <c r="A185">
        <v>14</v>
      </c>
      <c r="B185">
        <v>90</v>
      </c>
      <c r="C185">
        <v>4</v>
      </c>
      <c r="L185" t="str">
        <f>VLOOKUP(B189,players!A:B,2)</f>
        <v>LeBron James</v>
      </c>
    </row>
    <row r="186" spans="1:12" x14ac:dyDescent="0.25">
      <c r="A186">
        <v>14</v>
      </c>
      <c r="B186">
        <v>24</v>
      </c>
      <c r="C186">
        <v>5</v>
      </c>
      <c r="D186">
        <v>1000000</v>
      </c>
      <c r="L186" t="str">
        <f>VLOOKUP(B190,players!A:B,2)</f>
        <v>Cooper Flagg</v>
      </c>
    </row>
    <row r="187" spans="1:12" x14ac:dyDescent="0.25">
      <c r="A187">
        <v>14</v>
      </c>
      <c r="B187">
        <v>238</v>
      </c>
      <c r="C187">
        <v>6</v>
      </c>
      <c r="D187">
        <v>3000000</v>
      </c>
      <c r="L187" t="str">
        <f>VLOOKUP(B191,players!A:B,2)</f>
        <v>Karl-Anthony Towns</v>
      </c>
    </row>
    <row r="188" spans="1:12" x14ac:dyDescent="0.25">
      <c r="A188">
        <v>14</v>
      </c>
      <c r="B188">
        <v>19</v>
      </c>
      <c r="C188">
        <v>7</v>
      </c>
      <c r="D188">
        <v>20500000</v>
      </c>
      <c r="F188">
        <v>20500000</v>
      </c>
      <c r="H188">
        <v>20500000</v>
      </c>
      <c r="L188" t="str">
        <f>VLOOKUP(B192,players!A:B,2)</f>
        <v>Quentin Grimes</v>
      </c>
    </row>
    <row r="189" spans="1:12" x14ac:dyDescent="0.25">
      <c r="A189">
        <v>14</v>
      </c>
      <c r="B189">
        <v>73</v>
      </c>
      <c r="C189">
        <v>8</v>
      </c>
      <c r="D189">
        <v>19500000</v>
      </c>
      <c r="L189" t="str">
        <f>VLOOKUP(B193,players!A:B,2)</f>
        <v>LaMelo Ball</v>
      </c>
    </row>
    <row r="190" spans="1:12" x14ac:dyDescent="0.25">
      <c r="A190">
        <v>14</v>
      </c>
      <c r="B190">
        <v>61</v>
      </c>
      <c r="C190">
        <v>9</v>
      </c>
      <c r="D190">
        <v>9500000</v>
      </c>
      <c r="F190">
        <v>10500000</v>
      </c>
      <c r="G190" t="s">
        <v>12</v>
      </c>
      <c r="H190">
        <v>11500000</v>
      </c>
      <c r="I190" t="s">
        <v>12</v>
      </c>
      <c r="L190" t="str">
        <f>VLOOKUP(B194,players!A:B,2)</f>
        <v>Cason Wallace</v>
      </c>
    </row>
    <row r="191" spans="1:12" x14ac:dyDescent="0.25">
      <c r="A191">
        <v>14</v>
      </c>
      <c r="B191">
        <v>2</v>
      </c>
      <c r="C191">
        <v>10</v>
      </c>
      <c r="L191" t="str">
        <f>VLOOKUP(B195,players!A:B,2)</f>
        <v>Morez Johnson Jr.</v>
      </c>
    </row>
    <row r="192" spans="1:12" x14ac:dyDescent="0.25">
      <c r="A192">
        <v>14</v>
      </c>
      <c r="B192">
        <v>220</v>
      </c>
      <c r="C192">
        <v>11</v>
      </c>
      <c r="L192" t="str">
        <f>VLOOKUP(B196,players!A:B,2)</f>
        <v>Allen Graves</v>
      </c>
    </row>
    <row r="193" spans="1:12" x14ac:dyDescent="0.25">
      <c r="A193">
        <v>14</v>
      </c>
      <c r="B193">
        <v>145</v>
      </c>
      <c r="C193">
        <v>12</v>
      </c>
      <c r="D193">
        <v>20000000</v>
      </c>
      <c r="F193">
        <v>20000000</v>
      </c>
      <c r="H193">
        <v>20000000</v>
      </c>
      <c r="L193" t="e">
        <f>VLOOKUP(B197,players!A:B,2)</f>
        <v>#N/A</v>
      </c>
    </row>
    <row r="194" spans="1:12" x14ac:dyDescent="0.25">
      <c r="A194">
        <v>14</v>
      </c>
      <c r="B194">
        <v>273</v>
      </c>
      <c r="C194">
        <v>13</v>
      </c>
      <c r="D194">
        <v>3200000</v>
      </c>
      <c r="F194">
        <v>3500000</v>
      </c>
      <c r="L194" t="e">
        <f>VLOOKUP(B198,players!A:B,2)</f>
        <v>#N/A</v>
      </c>
    </row>
    <row r="195" spans="1:12" x14ac:dyDescent="0.25">
      <c r="A195">
        <v>13</v>
      </c>
      <c r="B195">
        <v>426</v>
      </c>
      <c r="C195">
        <v>14</v>
      </c>
      <c r="D195">
        <v>3400000</v>
      </c>
      <c r="F195">
        <v>3600000</v>
      </c>
      <c r="H195">
        <v>3800000</v>
      </c>
      <c r="I195" t="s">
        <v>12</v>
      </c>
      <c r="J195">
        <v>4100000</v>
      </c>
      <c r="K195" t="s">
        <v>12</v>
      </c>
      <c r="L195" t="e">
        <f>VLOOKUP(B199,players!A:B,2)</f>
        <v>#N/A</v>
      </c>
    </row>
    <row r="196" spans="1:12" x14ac:dyDescent="0.25">
      <c r="A196">
        <v>7</v>
      </c>
      <c r="B196">
        <v>434</v>
      </c>
      <c r="C196">
        <v>15</v>
      </c>
      <c r="D196">
        <v>1000000</v>
      </c>
      <c r="F196">
        <v>1000000</v>
      </c>
      <c r="H196">
        <v>1000000</v>
      </c>
      <c r="I196" t="s">
        <v>12</v>
      </c>
      <c r="J196">
        <v>1000000</v>
      </c>
      <c r="K196" t="s">
        <v>12</v>
      </c>
      <c r="L196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  <row r="37" spans="1:12" x14ac:dyDescent="0.25">
      <c r="A37">
        <v>6</v>
      </c>
      <c r="B37">
        <v>419</v>
      </c>
      <c r="C37">
        <v>14</v>
      </c>
      <c r="D37">
        <v>7000000</v>
      </c>
      <c r="F37">
        <v>7500000</v>
      </c>
      <c r="H37">
        <v>8250000</v>
      </c>
      <c r="I37" t="s">
        <v>12</v>
      </c>
      <c r="J37">
        <v>9000000</v>
      </c>
      <c r="K37" t="s">
        <v>12</v>
      </c>
      <c r="L37" t="str">
        <f>VLOOKUP(B32,players!A:B,2)</f>
        <v>Jaylen Wells</v>
      </c>
    </row>
    <row r="38" spans="1:12" x14ac:dyDescent="0.25">
      <c r="A38">
        <v>6</v>
      </c>
      <c r="B38">
        <v>444</v>
      </c>
      <c r="C38">
        <v>16</v>
      </c>
      <c r="D38">
        <v>1000000</v>
      </c>
      <c r="F38">
        <v>1000000</v>
      </c>
      <c r="H38">
        <v>1000000</v>
      </c>
      <c r="I38" t="s">
        <v>12</v>
      </c>
      <c r="J38">
        <v>1000000</v>
      </c>
      <c r="K38" t="s">
        <v>12</v>
      </c>
      <c r="L38" t="e">
        <f>VLOOKUP(B103,players!A:B,2)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574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596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597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598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599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604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605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606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607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608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609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614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589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615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616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617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618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619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624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625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626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627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628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629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581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583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584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634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635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636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637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638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639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640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641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642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643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644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645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646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647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648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649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650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651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652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653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654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655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656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657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658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659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660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661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662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663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664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665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666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667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668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669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670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671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672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673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674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675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676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677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678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679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680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681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682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683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684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685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686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590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687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688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689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694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695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696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697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2026-07-23T22:14:11Z</dcterms:modified>
</cp:coreProperties>
</file>